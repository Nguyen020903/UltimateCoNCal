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y of Sheet1" sheetId="2" r:id="rId5"/>
    <sheet state="visible" name="Unit Costs" sheetId="3" r:id="rId6"/>
  </sheets>
  <definedNames/>
  <calcPr/>
</workbook>
</file>

<file path=xl/sharedStrings.xml><?xml version="1.0" encoding="utf-8"?>
<sst xmlns="http://schemas.openxmlformats.org/spreadsheetml/2006/main" count="400" uniqueCount="124">
  <si>
    <t>CON</t>
  </si>
  <si>
    <t>Base Resources</t>
  </si>
  <si>
    <t>Resurce</t>
  </si>
  <si>
    <t>Arms Lvl</t>
  </si>
  <si>
    <t>Air Base</t>
  </si>
  <si>
    <t>Navy Base</t>
  </si>
  <si>
    <t>Recruting Office</t>
  </si>
  <si>
    <t>Moral</t>
  </si>
  <si>
    <t>Population</t>
  </si>
  <si>
    <t>Resource</t>
  </si>
  <si>
    <t>Cash</t>
  </si>
  <si>
    <t>City 1</t>
  </si>
  <si>
    <t>Supplies</t>
  </si>
  <si>
    <t>Lvl 5</t>
  </si>
  <si>
    <t>Lvl 1</t>
  </si>
  <si>
    <t xml:space="preserve">City 2 </t>
  </si>
  <si>
    <t>Components</t>
  </si>
  <si>
    <t>None</t>
  </si>
  <si>
    <t>City 3</t>
  </si>
  <si>
    <t>Fuel</t>
  </si>
  <si>
    <t>Lvl 3</t>
  </si>
  <si>
    <t>City 4</t>
  </si>
  <si>
    <t>Electronics</t>
  </si>
  <si>
    <t>Lvl 2</t>
  </si>
  <si>
    <t>City 5</t>
  </si>
  <si>
    <t>Rare</t>
  </si>
  <si>
    <t>City 6</t>
  </si>
  <si>
    <t>City 7</t>
  </si>
  <si>
    <t>City 8</t>
  </si>
  <si>
    <t>Province</t>
  </si>
  <si>
    <t>Days Elapsed</t>
  </si>
  <si>
    <t>Production</t>
  </si>
  <si>
    <t>Cost</t>
  </si>
  <si>
    <t>Net</t>
  </si>
  <si>
    <t>Daily Production</t>
  </si>
  <si>
    <t>Daily Unit Cost</t>
  </si>
  <si>
    <t>Componets</t>
  </si>
  <si>
    <t># of Units</t>
  </si>
  <si>
    <t>ASF</t>
  </si>
  <si>
    <t>Ace</t>
  </si>
  <si>
    <t>Frig</t>
  </si>
  <si>
    <t>Gunship</t>
  </si>
  <si>
    <t>Sum</t>
  </si>
  <si>
    <t>How many at a time</t>
  </si>
  <si>
    <t>Build Cost</t>
  </si>
  <si>
    <t>Time - Hr*4</t>
  </si>
  <si>
    <t>Build cost</t>
  </si>
  <si>
    <t>Convert to Days</t>
  </si>
  <si>
    <t>MMR</t>
  </si>
  <si>
    <t>MAA</t>
  </si>
  <si>
    <t>Real Hours</t>
  </si>
  <si>
    <t>Game Hours</t>
  </si>
  <si>
    <t>MRL</t>
  </si>
  <si>
    <t>Days Left</t>
  </si>
  <si>
    <t>Construction</t>
  </si>
  <si>
    <t>Research</t>
  </si>
  <si>
    <t>SAM</t>
  </si>
  <si>
    <t>Mech</t>
  </si>
  <si>
    <t>Radar</t>
  </si>
  <si>
    <t>Amph</t>
  </si>
  <si>
    <t>Tank Off</t>
  </si>
  <si>
    <t>Lvl 4</t>
  </si>
  <si>
    <t>Lvl 6</t>
  </si>
  <si>
    <t>Lvl 7</t>
  </si>
  <si>
    <t xml:space="preserve"> </t>
  </si>
  <si>
    <t>Total Real Hours</t>
  </si>
  <si>
    <t>Start</t>
  </si>
  <si>
    <t>Sup</t>
  </si>
  <si>
    <t>Tank O</t>
  </si>
  <si>
    <t>5:00 PM Fri</t>
  </si>
  <si>
    <t>11:45 PM Fri</t>
  </si>
  <si>
    <t>In Progress</t>
  </si>
  <si>
    <t>9:30 PM Fri</t>
  </si>
  <si>
    <t xml:space="preserve">  </t>
  </si>
  <si>
    <t>SAMS</t>
  </si>
  <si>
    <t>Remaining</t>
  </si>
  <si>
    <t>Time/Day</t>
  </si>
  <si>
    <t>Friday</t>
  </si>
  <si>
    <t>Total Hours</t>
  </si>
  <si>
    <t>Ea Game Day</t>
  </si>
  <si>
    <t>Ea Real Day</t>
  </si>
  <si>
    <t>War Start</t>
  </si>
  <si>
    <t>Sat</t>
  </si>
  <si>
    <t>Total Sup</t>
  </si>
  <si>
    <t>Days</t>
  </si>
  <si>
    <t>Total Rare</t>
  </si>
  <si>
    <t>Total Cash</t>
  </si>
  <si>
    <t>Hrs</t>
  </si>
  <si>
    <t>Float Time</t>
  </si>
  <si>
    <t>Researh Hours</t>
  </si>
  <si>
    <t>Men</t>
  </si>
  <si>
    <t>Upkeep</t>
  </si>
  <si>
    <t>/Day</t>
  </si>
  <si>
    <t>Total Build Time</t>
  </si>
  <si>
    <t>2 at a time</t>
  </si>
  <si>
    <t>Needed</t>
  </si>
  <si>
    <t>Made</t>
  </si>
  <si>
    <t>Elec</t>
  </si>
  <si>
    <t>Producing</t>
  </si>
  <si>
    <t>Left</t>
  </si>
  <si>
    <t>Cop</t>
  </si>
  <si>
    <t>Hours</t>
  </si>
  <si>
    <t>Build</t>
  </si>
  <si>
    <t>E Frig</t>
  </si>
  <si>
    <t>Cruisers</t>
  </si>
  <si>
    <t>NG</t>
  </si>
  <si>
    <t>Rotary</t>
  </si>
  <si>
    <t>Cruiser</t>
  </si>
  <si>
    <t>Gunner</t>
  </si>
  <si>
    <t>Level 1</t>
  </si>
  <si>
    <t>Upkeep Cost</t>
  </si>
  <si>
    <t>Manpower</t>
  </si>
  <si>
    <t>Ground</t>
  </si>
  <si>
    <t>Inftry</t>
  </si>
  <si>
    <t>Air</t>
  </si>
  <si>
    <t>Attack</t>
  </si>
  <si>
    <t>ASW</t>
  </si>
  <si>
    <t>SF</t>
  </si>
  <si>
    <t>Bomb</t>
  </si>
  <si>
    <t>AWACS</t>
  </si>
  <si>
    <t>Naval Patrol</t>
  </si>
  <si>
    <t>NAVY</t>
  </si>
  <si>
    <t>Corvette</t>
  </si>
  <si>
    <t>Frigate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</si>
</sst>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#,##0.0"/>
    <numFmt numFmtId="166" formatCode="0.000"/>
    <numFmt numFmtId="167" formatCode="h:mm am/p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rgb="FF6AA84F"/>
      <name val="Arial"/>
      <scheme val="minor"/>
    </font>
    <font/>
    <font>
      <strike/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rgb="FFD9EAD3"/>
        <bgColor rgb="FFD9EAD3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FFF2CC"/>
        <bgColor rgb="FFFFF2CC"/>
      </patternFill>
    </fill>
    <fill>
      <patternFill patternType="solid">
        <fgColor rgb="FF3C78D8"/>
        <bgColor rgb="FF3C78D8"/>
      </patternFill>
    </fill>
    <fill>
      <patternFill patternType="solid">
        <fgColor rgb="FFE6B8AF"/>
        <bgColor rgb="FFE6B8AF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1155CC"/>
        <bgColor rgb="FF1155CC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Font="1" applyNumberFormat="1"/>
    <xf borderId="0" fillId="0" fontId="1" numFmtId="0" xfId="0" applyFont="1"/>
    <xf borderId="0" fillId="0" fontId="1" numFmtId="1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Font="1" applyNumberFormat="1"/>
    <xf borderId="0" fillId="2" fontId="1" numFmtId="0" xfId="0" applyAlignment="1" applyFill="1" applyFont="1">
      <alignment readingOrder="0"/>
    </xf>
    <xf borderId="0" fillId="2" fontId="1" numFmtId="165" xfId="0" applyFont="1" applyNumberFormat="1"/>
    <xf borderId="0" fillId="0" fontId="1" numFmtId="0" xfId="0" applyAlignment="1" applyFont="1">
      <alignment horizontal="center" readingOrder="0" vertical="center"/>
    </xf>
    <xf borderId="0" fillId="3" fontId="2" numFmtId="0" xfId="0" applyAlignment="1" applyFill="1" applyFont="1">
      <alignment readingOrder="0"/>
    </xf>
    <xf borderId="0" fillId="3" fontId="2" numFmtId="165" xfId="0" applyFont="1" applyNumberFormat="1"/>
    <xf borderId="0" fillId="4" fontId="2" numFmtId="0" xfId="0" applyAlignment="1" applyFill="1" applyFont="1">
      <alignment readingOrder="0"/>
    </xf>
    <xf borderId="0" fillId="4" fontId="2" numFmtId="165" xfId="0" applyFont="1" applyNumberFormat="1"/>
    <xf borderId="0" fillId="5" fontId="3" numFmtId="0" xfId="0" applyAlignment="1" applyFill="1" applyFont="1">
      <alignment readingOrder="0"/>
    </xf>
    <xf borderId="0" fillId="5" fontId="3" numFmtId="165" xfId="0" applyFont="1" applyNumberFormat="1"/>
    <xf borderId="0" fillId="6" fontId="1" numFmtId="0" xfId="0" applyAlignment="1" applyFill="1" applyFont="1">
      <alignment readingOrder="0"/>
    </xf>
    <xf borderId="0" fillId="6" fontId="1" numFmtId="165" xfId="0" applyFont="1" applyNumberFormat="1"/>
    <xf borderId="0" fillId="0" fontId="1" numFmtId="0" xfId="0" applyAlignment="1" applyFont="1">
      <alignment horizontal="center" readingOrder="0"/>
    </xf>
    <xf borderId="1" fillId="0" fontId="1" numFmtId="0" xfId="0" applyBorder="1" applyFont="1"/>
    <xf borderId="2" fillId="0" fontId="1" numFmtId="0" xfId="0" applyBorder="1" applyFont="1"/>
    <xf borderId="2" fillId="0" fontId="1" numFmtId="0" xfId="0" applyAlignment="1" applyBorder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4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5" fillId="0" fontId="1" numFmtId="0" xfId="0" applyBorder="1" applyFont="1"/>
    <xf borderId="0" fillId="0" fontId="1" numFmtId="166" xfId="0" applyFont="1" applyNumberFormat="1"/>
    <xf borderId="4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7" fillId="0" fontId="1" numFmtId="2" xfId="0" applyBorder="1" applyFont="1" applyNumberFormat="1"/>
    <xf borderId="8" fillId="0" fontId="1" numFmtId="0" xfId="0" applyBorder="1" applyFont="1"/>
    <xf borderId="1" fillId="0" fontId="1" numFmtId="0" xfId="0" applyAlignment="1" applyBorder="1" applyFont="1">
      <alignment readingOrder="0"/>
    </xf>
    <xf borderId="3" fillId="0" fontId="1" numFmtId="0" xfId="0" applyBorder="1" applyFont="1"/>
    <xf borderId="6" fillId="0" fontId="1" numFmtId="0" xfId="0" applyAlignment="1" applyBorder="1" applyFont="1">
      <alignment readingOrder="0"/>
    </xf>
    <xf borderId="2" fillId="7" fontId="1" numFmtId="0" xfId="0" applyAlignment="1" applyBorder="1" applyFill="1" applyFont="1">
      <alignment readingOrder="0"/>
    </xf>
    <xf borderId="1" fillId="8" fontId="2" numFmtId="0" xfId="0" applyAlignment="1" applyBorder="1" applyFill="1" applyFont="1">
      <alignment readingOrder="0"/>
    </xf>
    <xf borderId="3" fillId="0" fontId="1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4" fillId="9" fontId="1" numFmtId="0" xfId="0" applyAlignment="1" applyBorder="1" applyFill="1" applyFont="1">
      <alignment readingOrder="0"/>
    </xf>
    <xf borderId="0" fillId="9" fontId="1" numFmtId="0" xfId="0" applyAlignment="1" applyFont="1">
      <alignment readingOrder="0"/>
    </xf>
    <xf borderId="0" fillId="10" fontId="2" numFmtId="0" xfId="0" applyAlignment="1" applyFill="1" applyFont="1">
      <alignment readingOrder="0"/>
    </xf>
    <xf borderId="0" fillId="9" fontId="1" numFmtId="0" xfId="0" applyFont="1"/>
    <xf borderId="0" fillId="11" fontId="1" numFmtId="0" xfId="0" applyAlignment="1" applyFill="1" applyFont="1">
      <alignment readingOrder="0"/>
    </xf>
    <xf borderId="0" fillId="12" fontId="1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5" fillId="0" fontId="5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9" fillId="0" fontId="1" numFmtId="0" xfId="0" applyBorder="1" applyFont="1"/>
    <xf borderId="2" fillId="13" fontId="2" numFmtId="0" xfId="0" applyAlignment="1" applyBorder="1" applyFill="1" applyFont="1">
      <alignment readingOrder="0"/>
    </xf>
    <xf borderId="1" fillId="14" fontId="1" numFmtId="0" xfId="0" applyAlignment="1" applyBorder="1" applyFill="1" applyFont="1">
      <alignment readingOrder="0"/>
    </xf>
    <xf borderId="0" fillId="15" fontId="1" numFmtId="0" xfId="0" applyAlignment="1" applyFill="1" applyFont="1">
      <alignment readingOrder="0"/>
    </xf>
    <xf borderId="5" fillId="9" fontId="1" numFmtId="0" xfId="0" applyAlignment="1" applyBorder="1" applyFont="1">
      <alignment readingOrder="0"/>
    </xf>
    <xf borderId="0" fillId="0" fontId="1" numFmtId="167" xfId="0" applyAlignment="1" applyFont="1" applyNumberFormat="1">
      <alignment readingOrder="0"/>
    </xf>
    <xf borderId="3" fillId="0" fontId="1" numFmtId="4" xfId="0" applyBorder="1" applyFont="1" applyNumberFormat="1"/>
    <xf borderId="5" fillId="0" fontId="1" numFmtId="4" xfId="0" applyBorder="1" applyFont="1" applyNumberFormat="1"/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8" fillId="0" fontId="1" numFmtId="4" xfId="0" applyBorder="1" applyFont="1" applyNumberFormat="1"/>
    <xf borderId="7" fillId="0" fontId="1" numFmtId="4" xfId="0" applyAlignment="1" applyBorder="1" applyFont="1" applyNumberFormat="1">
      <alignment readingOrder="0"/>
    </xf>
    <xf borderId="7" fillId="0" fontId="1" numFmtId="4" xfId="0" applyBorder="1" applyFont="1" applyNumberFormat="1"/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11" fillId="0" fontId="1" numFmtId="4" xfId="0" applyBorder="1" applyFont="1" applyNumberFormat="1"/>
    <xf borderId="12" fillId="0" fontId="1" numFmtId="4" xfId="0" applyBorder="1" applyFont="1" applyNumberFormat="1"/>
    <xf borderId="7" fillId="0" fontId="1" numFmtId="0" xfId="0" applyAlignment="1" applyBorder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164" xfId="0" applyFont="1" applyNumberFormat="1"/>
    <xf borderId="0" fillId="0" fontId="1" numFmtId="165" xfId="0" applyFont="1" applyNumberFormat="1"/>
    <xf borderId="0" fillId="3" fontId="2" numFmtId="165" xfId="0" applyAlignment="1" applyFont="1" applyNumberFormat="1">
      <alignment readingOrder="0"/>
    </xf>
    <xf borderId="0" fillId="5" fontId="3" numFmtId="165" xfId="0" applyAlignment="1" applyFont="1" applyNumberFormat="1">
      <alignment readingOrder="0"/>
    </xf>
    <xf borderId="0" fillId="0" fontId="1" numFmtId="0" xfId="0" applyAlignment="1" applyFont="1">
      <alignment horizontal="center" readingOrder="0" textRotation="90" vertical="center"/>
    </xf>
    <xf borderId="1" fillId="0" fontId="1" numFmtId="0" xfId="0" applyAlignment="1" applyBorder="1" applyFont="1">
      <alignment horizontal="center" readingOrder="0"/>
    </xf>
    <xf borderId="0" fillId="16" fontId="1" numFmtId="0" xfId="0" applyAlignment="1" applyFill="1" applyFont="1">
      <alignment readingOrder="0"/>
    </xf>
    <xf borderId="0" fillId="17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</cols>
  <sheetData>
    <row r="1">
      <c r="A1" s="1" t="s">
        <v>0</v>
      </c>
    </row>
    <row r="2">
      <c r="B2" s="1"/>
      <c r="C2" s="1"/>
      <c r="D2" s="1"/>
      <c r="F2" s="1"/>
      <c r="H2" s="1"/>
      <c r="I2" s="1"/>
      <c r="J2" s="1"/>
      <c r="K2" s="1"/>
      <c r="L2" s="1"/>
      <c r="M2" s="1"/>
    </row>
    <row r="3">
      <c r="B3" s="1" t="s">
        <v>1</v>
      </c>
      <c r="C3" s="1" t="s">
        <v>2</v>
      </c>
      <c r="D3" s="1" t="s">
        <v>3</v>
      </c>
      <c r="F3" s="1" t="s">
        <v>4</v>
      </c>
      <c r="H3" s="1" t="s">
        <v>5</v>
      </c>
      <c r="J3" s="1" t="s">
        <v>6</v>
      </c>
      <c r="K3" s="1"/>
      <c r="L3" s="1" t="s">
        <v>7</v>
      </c>
      <c r="M3" s="1" t="s">
        <v>8</v>
      </c>
      <c r="N3" s="1" t="s">
        <v>9</v>
      </c>
      <c r="O3" s="1" t="s">
        <v>10</v>
      </c>
    </row>
    <row r="4">
      <c r="A4" s="1" t="s">
        <v>11</v>
      </c>
      <c r="B4" s="1">
        <v>253.0</v>
      </c>
      <c r="C4" s="1" t="s">
        <v>12</v>
      </c>
      <c r="D4" s="1" t="s">
        <v>13</v>
      </c>
      <c r="E4" s="2">
        <f t="shared" ref="E4:E11" si="1">IFS(D4="Lvl 1", 1.1, D4="Lvl 2", 1.2, D4="Lvl 3", 1.3, D4="Lvl 5", 1.5, D4="Lvl 4", 1.4, D4="None", 1)</f>
        <v>1.5</v>
      </c>
      <c r="F4" s="1" t="s">
        <v>14</v>
      </c>
      <c r="G4" s="2">
        <f t="shared" ref="G4:G11" si="2">IFS(F4="Lvl 1", 1.05, F4="Lvl 2", 1.1, F4="Lvl 3", 1.15, F4="Lvl 5", 1.25, F4="Lvl 4", 1.2, F4="None", 1)</f>
        <v>1.05</v>
      </c>
      <c r="H4" s="1" t="s">
        <v>14</v>
      </c>
      <c r="I4" s="2">
        <f t="shared" ref="I4:I11" si="3">IFS(H4="Lvl 1", 1, H4="Lvl 2", 1.05, H4="Lvl 3", 1.1, H4="Lvl 5", 1.2, H4="Lvl 4", 1.15, H4="None", 1)</f>
        <v>1</v>
      </c>
      <c r="J4" s="1" t="s">
        <v>14</v>
      </c>
      <c r="K4" s="3">
        <f t="shared" ref="K4:K11" si="4">IFS(J4="Lvl 1", 1.05, J4="Lvl 2", 1.1, J4="Lvl 3", 1.15, J4="Lvl 5", 1.25, J4="Lvl 4", 1.2, J4="None", 1)</f>
        <v>1.05</v>
      </c>
      <c r="L4" s="4">
        <v>1.0</v>
      </c>
      <c r="M4" s="5">
        <v>7.6</v>
      </c>
      <c r="N4" s="3">
        <f t="shared" ref="N4:N9" si="5">B4*(E4*G4*I4*L4*M4)</f>
        <v>3028.41</v>
      </c>
      <c r="O4" s="1"/>
      <c r="P4" s="3">
        <f>countif(C4, Components)</f>
        <v>0</v>
      </c>
    </row>
    <row r="5">
      <c r="A5" s="1" t="s">
        <v>15</v>
      </c>
      <c r="B5" s="1">
        <v>255.0</v>
      </c>
      <c r="C5" s="1" t="s">
        <v>16</v>
      </c>
      <c r="D5" s="1" t="s">
        <v>14</v>
      </c>
      <c r="E5" s="2">
        <f t="shared" si="1"/>
        <v>1.1</v>
      </c>
      <c r="F5" s="1" t="s">
        <v>17</v>
      </c>
      <c r="G5" s="2">
        <f t="shared" si="2"/>
        <v>1</v>
      </c>
      <c r="H5" s="1" t="s">
        <v>17</v>
      </c>
      <c r="I5" s="2">
        <f t="shared" si="3"/>
        <v>1</v>
      </c>
      <c r="J5" s="1" t="s">
        <v>17</v>
      </c>
      <c r="K5" s="3">
        <f t="shared" si="4"/>
        <v>1</v>
      </c>
      <c r="L5" s="4">
        <v>0.92</v>
      </c>
      <c r="M5" s="1">
        <v>7.2</v>
      </c>
      <c r="N5" s="3">
        <f t="shared" si="5"/>
        <v>1858.032</v>
      </c>
    </row>
    <row r="6">
      <c r="A6" s="1" t="s">
        <v>18</v>
      </c>
      <c r="B6" s="1">
        <v>300.0</v>
      </c>
      <c r="C6" s="1" t="s">
        <v>19</v>
      </c>
      <c r="D6" s="1" t="s">
        <v>20</v>
      </c>
      <c r="E6" s="2">
        <f t="shared" si="1"/>
        <v>1.3</v>
      </c>
      <c r="F6" s="1" t="s">
        <v>17</v>
      </c>
      <c r="G6" s="2">
        <f t="shared" si="2"/>
        <v>1</v>
      </c>
      <c r="H6" s="1" t="s">
        <v>17</v>
      </c>
      <c r="I6" s="2">
        <f t="shared" si="3"/>
        <v>1</v>
      </c>
      <c r="J6" s="1" t="s">
        <v>17</v>
      </c>
      <c r="K6" s="3">
        <f t="shared" si="4"/>
        <v>1</v>
      </c>
      <c r="L6" s="4">
        <v>0.92</v>
      </c>
      <c r="M6" s="1">
        <v>7.0</v>
      </c>
      <c r="N6" s="3">
        <f t="shared" si="5"/>
        <v>2511.6</v>
      </c>
    </row>
    <row r="7">
      <c r="A7" s="1" t="s">
        <v>21</v>
      </c>
      <c r="B7" s="1">
        <v>180.0</v>
      </c>
      <c r="C7" s="1" t="s">
        <v>22</v>
      </c>
      <c r="D7" s="1" t="s">
        <v>13</v>
      </c>
      <c r="E7" s="2">
        <f t="shared" si="1"/>
        <v>1.5</v>
      </c>
      <c r="F7" s="1" t="s">
        <v>17</v>
      </c>
      <c r="G7" s="2">
        <f t="shared" si="2"/>
        <v>1</v>
      </c>
      <c r="H7" s="1" t="s">
        <v>23</v>
      </c>
      <c r="I7" s="2">
        <f t="shared" si="3"/>
        <v>1.05</v>
      </c>
      <c r="J7" s="1" t="s">
        <v>14</v>
      </c>
      <c r="K7" s="3">
        <f t="shared" si="4"/>
        <v>1.05</v>
      </c>
      <c r="L7" s="4">
        <v>0.94</v>
      </c>
      <c r="M7" s="1">
        <v>7.2</v>
      </c>
      <c r="N7" s="3">
        <f t="shared" si="5"/>
        <v>1918.728</v>
      </c>
    </row>
    <row r="8">
      <c r="A8" s="1" t="s">
        <v>24</v>
      </c>
      <c r="B8" s="1">
        <v>180.0</v>
      </c>
      <c r="C8" s="1" t="s">
        <v>25</v>
      </c>
      <c r="D8" s="1" t="s">
        <v>13</v>
      </c>
      <c r="E8" s="2">
        <f t="shared" si="1"/>
        <v>1.5</v>
      </c>
      <c r="F8" s="1" t="s">
        <v>17</v>
      </c>
      <c r="G8" s="2">
        <f t="shared" si="2"/>
        <v>1</v>
      </c>
      <c r="H8" s="1" t="s">
        <v>17</v>
      </c>
      <c r="I8" s="2">
        <f t="shared" si="3"/>
        <v>1</v>
      </c>
      <c r="J8" s="1" t="s">
        <v>17</v>
      </c>
      <c r="K8" s="3">
        <f t="shared" si="4"/>
        <v>1</v>
      </c>
      <c r="L8" s="4">
        <v>0.94</v>
      </c>
      <c r="M8" s="1">
        <v>7.2</v>
      </c>
      <c r="N8" s="3">
        <f t="shared" si="5"/>
        <v>1827.36</v>
      </c>
    </row>
    <row r="9">
      <c r="A9" s="1" t="s">
        <v>26</v>
      </c>
      <c r="B9" s="1">
        <v>253.0</v>
      </c>
      <c r="C9" s="1" t="s">
        <v>12</v>
      </c>
      <c r="D9" s="1" t="s">
        <v>13</v>
      </c>
      <c r="E9" s="2">
        <f t="shared" si="1"/>
        <v>1.5</v>
      </c>
      <c r="F9" s="1" t="s">
        <v>17</v>
      </c>
      <c r="G9" s="2">
        <f t="shared" si="2"/>
        <v>1</v>
      </c>
      <c r="H9" s="1" t="s">
        <v>17</v>
      </c>
      <c r="I9" s="2">
        <f t="shared" si="3"/>
        <v>1</v>
      </c>
      <c r="J9" s="1" t="s">
        <v>17</v>
      </c>
      <c r="K9" s="3">
        <f t="shared" si="4"/>
        <v>1</v>
      </c>
      <c r="L9" s="4">
        <v>0.92</v>
      </c>
      <c r="M9" s="1">
        <v>7.2</v>
      </c>
      <c r="N9" s="3">
        <f t="shared" si="5"/>
        <v>2513.808</v>
      </c>
    </row>
    <row r="10">
      <c r="A10" s="1" t="s">
        <v>27</v>
      </c>
      <c r="C10" s="1" t="s">
        <v>12</v>
      </c>
      <c r="D10" s="1" t="s">
        <v>17</v>
      </c>
      <c r="E10" s="2">
        <f t="shared" si="1"/>
        <v>1</v>
      </c>
      <c r="F10" s="1" t="s">
        <v>17</v>
      </c>
      <c r="G10" s="2">
        <f t="shared" si="2"/>
        <v>1</v>
      </c>
      <c r="H10" s="1" t="s">
        <v>17</v>
      </c>
      <c r="I10" s="2">
        <f t="shared" si="3"/>
        <v>1</v>
      </c>
      <c r="J10" s="1" t="s">
        <v>17</v>
      </c>
      <c r="K10" s="3">
        <f t="shared" si="4"/>
        <v>1</v>
      </c>
      <c r="L10" s="6"/>
    </row>
    <row r="11">
      <c r="A11" s="1" t="s">
        <v>28</v>
      </c>
      <c r="C11" s="1" t="s">
        <v>12</v>
      </c>
      <c r="D11" s="1" t="s">
        <v>17</v>
      </c>
      <c r="E11" s="2">
        <f t="shared" si="1"/>
        <v>1</v>
      </c>
      <c r="F11" s="1" t="s">
        <v>17</v>
      </c>
      <c r="G11" s="2">
        <f t="shared" si="2"/>
        <v>1</v>
      </c>
      <c r="H11" s="1" t="s">
        <v>17</v>
      </c>
      <c r="I11" s="2">
        <f t="shared" si="3"/>
        <v>1</v>
      </c>
      <c r="J11" s="1" t="s">
        <v>17</v>
      </c>
      <c r="K11" s="3">
        <f t="shared" si="4"/>
        <v>1</v>
      </c>
      <c r="L11" s="6"/>
    </row>
    <row r="13">
      <c r="A13" s="1" t="s">
        <v>29</v>
      </c>
      <c r="B13" s="1">
        <v>165.0</v>
      </c>
      <c r="C13" s="1" t="s">
        <v>19</v>
      </c>
      <c r="D13" s="1" t="s">
        <v>20</v>
      </c>
      <c r="E13" s="3">
        <f t="shared" ref="E13:E15" si="6">IFS(D13="Lvl 1", 2, D13="Lvl 2", 2.5, D13="Lvl 3", 3)</f>
        <v>3</v>
      </c>
      <c r="L13" s="4">
        <v>1.0</v>
      </c>
      <c r="N13" s="3">
        <f t="shared" ref="N13:N15" si="7">B13*(E13*L13)</f>
        <v>495</v>
      </c>
    </row>
    <row r="14">
      <c r="B14" s="1">
        <v>147.0</v>
      </c>
      <c r="C14" s="1" t="s">
        <v>16</v>
      </c>
      <c r="D14" s="1" t="s">
        <v>14</v>
      </c>
      <c r="E14" s="3">
        <f t="shared" si="6"/>
        <v>2</v>
      </c>
      <c r="L14" s="4">
        <v>1.0</v>
      </c>
      <c r="N14" s="3">
        <f t="shared" si="7"/>
        <v>294</v>
      </c>
    </row>
    <row r="15">
      <c r="B15" s="1">
        <v>118.0</v>
      </c>
      <c r="C15" s="1" t="s">
        <v>22</v>
      </c>
      <c r="D15" s="1" t="s">
        <v>20</v>
      </c>
      <c r="E15" s="3">
        <f t="shared" si="6"/>
        <v>3</v>
      </c>
      <c r="L15" s="4">
        <v>1.0</v>
      </c>
      <c r="N15" s="3">
        <f t="shared" si="7"/>
        <v>354</v>
      </c>
    </row>
    <row r="17">
      <c r="F17" s="1" t="s">
        <v>30</v>
      </c>
      <c r="H17" s="1" t="s">
        <v>31</v>
      </c>
      <c r="I17" s="1" t="s">
        <v>32</v>
      </c>
      <c r="J17" s="1" t="s">
        <v>33</v>
      </c>
    </row>
    <row r="18">
      <c r="B18" s="1" t="s">
        <v>34</v>
      </c>
      <c r="C18" s="7" t="s">
        <v>12</v>
      </c>
      <c r="D18" s="8">
        <f>sumif(C4:C15,"Supplies",N4:N15)</f>
        <v>5542.218</v>
      </c>
      <c r="F18" s="9">
        <v>1.0</v>
      </c>
      <c r="H18" s="8">
        <f t="shared" ref="H18:H22" si="8">D18*$F$18</f>
        <v>5542.218</v>
      </c>
      <c r="I18" s="8">
        <f>F18*(L31+L39)</f>
        <v>0</v>
      </c>
      <c r="J18" s="8">
        <f t="shared" ref="J18:J22" si="9">H18-I18</f>
        <v>5542.218</v>
      </c>
    </row>
    <row r="19">
      <c r="C19" s="10" t="s">
        <v>16</v>
      </c>
      <c r="D19" s="11">
        <f>sumif(C4:C15,"Components",N4:N15)</f>
        <v>2152.032</v>
      </c>
      <c r="H19" s="11">
        <f t="shared" si="8"/>
        <v>2152.032</v>
      </c>
      <c r="I19" s="11">
        <f>sum(F18*(M31+M39))</f>
        <v>0</v>
      </c>
      <c r="J19" s="11">
        <f t="shared" si="9"/>
        <v>2152.032</v>
      </c>
    </row>
    <row r="20">
      <c r="C20" s="12" t="s">
        <v>19</v>
      </c>
      <c r="D20" s="13">
        <f>sumif(C4:C15,"Fuel",N4:N15)</f>
        <v>3006.6</v>
      </c>
      <c r="H20" s="13">
        <f t="shared" si="8"/>
        <v>3006.6</v>
      </c>
      <c r="I20" s="13">
        <f>sum(F18*(N31+N39))</f>
        <v>0</v>
      </c>
      <c r="J20" s="13">
        <f t="shared" si="9"/>
        <v>3006.6</v>
      </c>
    </row>
    <row r="21">
      <c r="C21" s="14" t="s">
        <v>22</v>
      </c>
      <c r="D21" s="15">
        <f>sumif(C4:C15,"Electronics",N4:N15)</f>
        <v>2272.728</v>
      </c>
      <c r="H21" s="15">
        <f t="shared" si="8"/>
        <v>2272.728</v>
      </c>
      <c r="I21" s="15">
        <f>sum(F18*(O31+O39))</f>
        <v>0</v>
      </c>
      <c r="J21" s="15">
        <f t="shared" si="9"/>
        <v>2272.728</v>
      </c>
    </row>
    <row r="22">
      <c r="C22" s="16" t="s">
        <v>25</v>
      </c>
      <c r="D22" s="17">
        <f>sumif(C4:C15,"Rare",N4:N15)</f>
        <v>1827.36</v>
      </c>
      <c r="H22" s="17">
        <f t="shared" si="8"/>
        <v>1827.36</v>
      </c>
      <c r="I22" s="17">
        <f>sum(F19*(O32+N40))</f>
        <v>0</v>
      </c>
      <c r="J22" s="17">
        <f t="shared" si="9"/>
        <v>1827.36</v>
      </c>
    </row>
    <row r="25">
      <c r="B25" s="1" t="s">
        <v>35</v>
      </c>
      <c r="C25" s="1" t="s">
        <v>12</v>
      </c>
      <c r="D25" s="1" t="s">
        <v>36</v>
      </c>
      <c r="F25" s="1" t="s">
        <v>19</v>
      </c>
      <c r="H25" s="1" t="s">
        <v>22</v>
      </c>
      <c r="I25" s="1" t="s">
        <v>10</v>
      </c>
      <c r="J25" s="1" t="s">
        <v>37</v>
      </c>
      <c r="L25" s="1" t="s">
        <v>12</v>
      </c>
      <c r="M25" s="1" t="s">
        <v>36</v>
      </c>
      <c r="N25" s="1" t="s">
        <v>19</v>
      </c>
      <c r="O25" s="1" t="s">
        <v>22</v>
      </c>
      <c r="P25" s="1" t="s">
        <v>10</v>
      </c>
    </row>
    <row r="26">
      <c r="B26" s="1" t="s">
        <v>38</v>
      </c>
      <c r="F26" s="1">
        <v>55.0</v>
      </c>
      <c r="H26" s="1">
        <v>50.0</v>
      </c>
      <c r="I26" s="1">
        <v>150.0</v>
      </c>
      <c r="J26" s="1">
        <v>0.0</v>
      </c>
      <c r="L26" s="3">
        <f t="shared" ref="L26:L29" si="10">C26*J26</f>
        <v>0</v>
      </c>
      <c r="M26" s="3">
        <f t="shared" ref="M26:M29" si="11">D26*L26</f>
        <v>0</v>
      </c>
      <c r="N26" s="3">
        <f t="shared" ref="N26:N29" si="12">F26*J26</f>
        <v>0</v>
      </c>
      <c r="O26" s="3">
        <f t="shared" ref="O26:O29" si="13">H26*J26</f>
        <v>0</v>
      </c>
      <c r="P26" s="3">
        <f t="shared" ref="P26:P29" si="14">I26*J26</f>
        <v>0</v>
      </c>
    </row>
    <row r="27">
      <c r="B27" s="1" t="s">
        <v>39</v>
      </c>
      <c r="F27" s="1">
        <v>85.0</v>
      </c>
      <c r="H27" s="1">
        <v>80.0</v>
      </c>
      <c r="I27" s="1">
        <v>220.0</v>
      </c>
      <c r="J27" s="1">
        <v>0.0</v>
      </c>
      <c r="L27" s="3">
        <f t="shared" si="10"/>
        <v>0</v>
      </c>
      <c r="M27" s="3">
        <f t="shared" si="11"/>
        <v>0</v>
      </c>
      <c r="N27" s="3">
        <f t="shared" si="12"/>
        <v>0</v>
      </c>
      <c r="O27" s="3">
        <f t="shared" si="13"/>
        <v>0</v>
      </c>
      <c r="P27" s="3">
        <f t="shared" si="14"/>
        <v>0</v>
      </c>
    </row>
    <row r="28">
      <c r="B28" s="1" t="s">
        <v>40</v>
      </c>
      <c r="D28" s="1">
        <v>120.0</v>
      </c>
      <c r="F28" s="1">
        <v>65.0</v>
      </c>
      <c r="I28" s="1">
        <v>160.0</v>
      </c>
      <c r="J28" s="1">
        <v>0.0</v>
      </c>
      <c r="L28" s="3">
        <f t="shared" si="10"/>
        <v>0</v>
      </c>
      <c r="M28" s="3">
        <f t="shared" si="11"/>
        <v>0</v>
      </c>
      <c r="N28" s="3">
        <f t="shared" si="12"/>
        <v>0</v>
      </c>
      <c r="O28" s="3">
        <f t="shared" si="13"/>
        <v>0</v>
      </c>
      <c r="P28" s="3">
        <f t="shared" si="14"/>
        <v>0</v>
      </c>
    </row>
    <row r="29">
      <c r="B29" s="1" t="s">
        <v>41</v>
      </c>
      <c r="F29" s="1">
        <v>25.0</v>
      </c>
      <c r="H29" s="1">
        <v>25.0</v>
      </c>
      <c r="I29" s="1">
        <v>80.0</v>
      </c>
      <c r="J29" s="1">
        <v>0.0</v>
      </c>
      <c r="L29" s="3">
        <f t="shared" si="10"/>
        <v>0</v>
      </c>
      <c r="M29" s="3">
        <f t="shared" si="11"/>
        <v>0</v>
      </c>
      <c r="N29" s="3">
        <f t="shared" si="12"/>
        <v>0</v>
      </c>
      <c r="O29" s="3">
        <f t="shared" si="13"/>
        <v>0</v>
      </c>
      <c r="P29" s="3">
        <f t="shared" si="14"/>
        <v>0</v>
      </c>
    </row>
    <row r="31">
      <c r="B31" s="1" t="s">
        <v>42</v>
      </c>
      <c r="L31" s="3">
        <f t="shared" ref="L31:P31" si="15">sum(L26:L29)</f>
        <v>0</v>
      </c>
      <c r="M31" s="3">
        <f t="shared" si="15"/>
        <v>0</v>
      </c>
      <c r="N31" s="3">
        <f t="shared" si="15"/>
        <v>0</v>
      </c>
      <c r="O31" s="3">
        <f t="shared" si="15"/>
        <v>0</v>
      </c>
      <c r="P31" s="3">
        <f t="shared" si="15"/>
        <v>0</v>
      </c>
    </row>
    <row r="33">
      <c r="A33" s="18" t="s">
        <v>43</v>
      </c>
      <c r="B33" s="18"/>
    </row>
    <row r="34">
      <c r="B34" s="1" t="s">
        <v>44</v>
      </c>
      <c r="J34" s="1" t="s">
        <v>45</v>
      </c>
    </row>
    <row r="35">
      <c r="A35" s="1">
        <v>0.0</v>
      </c>
      <c r="B35" s="1" t="s">
        <v>38</v>
      </c>
      <c r="D35" s="1">
        <v>1000.0</v>
      </c>
      <c r="H35" s="1">
        <v>1000.0</v>
      </c>
      <c r="I35" s="1">
        <v>3800.0</v>
      </c>
      <c r="J35" s="1">
        <f t="shared" ref="J35:J36" si="16">6*4</f>
        <v>24</v>
      </c>
      <c r="L35" s="3">
        <f t="shared" ref="L35:L36" si="17">C35*(J35/24)</f>
        <v>0</v>
      </c>
      <c r="M35" s="3">
        <f t="shared" ref="M35:M36" si="18">D35*(J35/24)*A35</f>
        <v>0</v>
      </c>
      <c r="N35" s="3">
        <f t="shared" ref="N35:N36" si="19">F35*(J35/24)*A35</f>
        <v>0</v>
      </c>
      <c r="O35" s="3">
        <f t="shared" ref="O35:O36" si="20">H35*(J35/24)*A35</f>
        <v>0</v>
      </c>
      <c r="P35" s="3">
        <f t="shared" ref="P35:P36" si="21">I35*(J35/24)*A35</f>
        <v>0</v>
      </c>
    </row>
    <row r="36">
      <c r="A36" s="1">
        <v>0.0</v>
      </c>
      <c r="B36" s="1" t="s">
        <v>40</v>
      </c>
      <c r="D36" s="1">
        <v>2000.0</v>
      </c>
      <c r="H36" s="1">
        <v>1100.0</v>
      </c>
      <c r="I36" s="1">
        <v>1800.0</v>
      </c>
      <c r="J36" s="1">
        <f t="shared" si="16"/>
        <v>24</v>
      </c>
      <c r="L36" s="3">
        <f t="shared" si="17"/>
        <v>0</v>
      </c>
      <c r="M36" s="3">
        <f t="shared" si="18"/>
        <v>0</v>
      </c>
      <c r="N36" s="3">
        <f t="shared" si="19"/>
        <v>0</v>
      </c>
      <c r="O36" s="3">
        <f t="shared" si="20"/>
        <v>0</v>
      </c>
      <c r="P36" s="3">
        <f t="shared" si="21"/>
        <v>0</v>
      </c>
    </row>
    <row r="39">
      <c r="M39" s="3">
        <f t="shared" ref="M39:P39" si="22">Sum(M35:M36)</f>
        <v>0</v>
      </c>
      <c r="N39" s="3">
        <f t="shared" si="22"/>
        <v>0</v>
      </c>
      <c r="O39" s="3">
        <f t="shared" si="22"/>
        <v>0</v>
      </c>
      <c r="P39" s="3">
        <f t="shared" si="22"/>
        <v>0</v>
      </c>
    </row>
    <row r="42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1" t="s">
        <v>46</v>
      </c>
      <c r="L42" s="22"/>
      <c r="M42" s="22"/>
      <c r="N42" s="22"/>
      <c r="O42" s="22"/>
      <c r="P42" s="23"/>
    </row>
    <row r="43">
      <c r="A43" s="24"/>
      <c r="B43" s="1"/>
      <c r="C43" s="1"/>
      <c r="D43" s="1"/>
      <c r="H43" s="1"/>
      <c r="I43" s="1"/>
      <c r="J43" s="1"/>
      <c r="K43" s="25" t="s">
        <v>47</v>
      </c>
      <c r="L43" s="2"/>
      <c r="P43" s="26"/>
    </row>
    <row r="44">
      <c r="A44" s="24">
        <v>1.0</v>
      </c>
      <c r="B44" s="1" t="s">
        <v>48</v>
      </c>
      <c r="C44" s="1">
        <v>1500.0</v>
      </c>
      <c r="D44" s="1">
        <v>0.0</v>
      </c>
      <c r="H44" s="1">
        <v>800.0</v>
      </c>
      <c r="I44" s="1">
        <v>1800.0</v>
      </c>
      <c r="J44" s="1">
        <f>3.66*4</f>
        <v>14.64</v>
      </c>
      <c r="K44" s="27">
        <f t="shared" ref="K44:K46" si="23">J44/24</f>
        <v>0.61</v>
      </c>
      <c r="L44" s="2">
        <f t="shared" ref="L44:L46" si="24">(C44/K44)*A44</f>
        <v>2459.016393</v>
      </c>
      <c r="M44" s="3">
        <f t="shared" ref="M44:M46" si="25">(D44/K44)*A44</f>
        <v>0</v>
      </c>
      <c r="O44" s="3">
        <f t="shared" ref="O44:O45" si="26">(H44/K44)*A44</f>
        <v>1311.47541</v>
      </c>
      <c r="P44" s="26">
        <f t="shared" ref="P44:P46" si="27">(I44/K44)*A44</f>
        <v>2950.819672</v>
      </c>
    </row>
    <row r="45">
      <c r="A45" s="24">
        <v>1.0</v>
      </c>
      <c r="B45" s="1" t="s">
        <v>48</v>
      </c>
      <c r="C45" s="1">
        <v>1500.0</v>
      </c>
      <c r="D45" s="1">
        <v>0.0</v>
      </c>
      <c r="H45" s="1">
        <v>800.0</v>
      </c>
      <c r="I45" s="1">
        <v>1800.0</v>
      </c>
      <c r="J45" s="1">
        <f>4.8*4</f>
        <v>19.2</v>
      </c>
      <c r="K45" s="27">
        <f t="shared" si="23"/>
        <v>0.8</v>
      </c>
      <c r="L45" s="2">
        <f t="shared" si="24"/>
        <v>1875</v>
      </c>
      <c r="M45" s="3">
        <f t="shared" si="25"/>
        <v>0</v>
      </c>
      <c r="O45" s="3">
        <f t="shared" si="26"/>
        <v>1000</v>
      </c>
      <c r="P45" s="26">
        <f t="shared" si="27"/>
        <v>2250</v>
      </c>
    </row>
    <row r="46">
      <c r="A46" s="24">
        <v>1.0</v>
      </c>
      <c r="B46" s="1" t="s">
        <v>49</v>
      </c>
      <c r="C46" s="1">
        <v>900.0</v>
      </c>
      <c r="D46" s="1">
        <v>1200.0</v>
      </c>
      <c r="I46" s="1">
        <v>1000.0</v>
      </c>
      <c r="J46" s="1">
        <f>3.65*4</f>
        <v>14.6</v>
      </c>
      <c r="K46" s="27">
        <f t="shared" si="23"/>
        <v>0.6083333333</v>
      </c>
      <c r="L46" s="2">
        <f t="shared" si="24"/>
        <v>1479.452055</v>
      </c>
      <c r="M46" s="3">
        <f t="shared" si="25"/>
        <v>1972.60274</v>
      </c>
      <c r="P46" s="26">
        <f t="shared" si="27"/>
        <v>1643.835616</v>
      </c>
    </row>
    <row r="47">
      <c r="A47" s="28"/>
      <c r="P47" s="26"/>
    </row>
    <row r="48">
      <c r="A48" s="28"/>
      <c r="P48" s="26"/>
    </row>
    <row r="49">
      <c r="A49" s="29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1">
        <f t="shared" ref="L49:P49" si="28">sum(L44:L46)</f>
        <v>5813.468448</v>
      </c>
      <c r="M49" s="30">
        <f t="shared" si="28"/>
        <v>1972.60274</v>
      </c>
      <c r="N49" s="30">
        <f t="shared" si="28"/>
        <v>0</v>
      </c>
      <c r="O49" s="30">
        <f t="shared" si="28"/>
        <v>2311.47541</v>
      </c>
      <c r="P49" s="32">
        <f t="shared" si="28"/>
        <v>6844.655289</v>
      </c>
    </row>
    <row r="51">
      <c r="C51" s="1" t="s">
        <v>50</v>
      </c>
      <c r="D51" s="1" t="s">
        <v>51</v>
      </c>
      <c r="F51" s="1" t="s">
        <v>52</v>
      </c>
      <c r="H51" s="1" t="s">
        <v>49</v>
      </c>
    </row>
    <row r="52">
      <c r="B52" s="1" t="s">
        <v>53</v>
      </c>
      <c r="C52" s="3">
        <f>(24*2)-3.5</f>
        <v>44.5</v>
      </c>
      <c r="D52" s="3">
        <f t="shared" ref="D52:D54" si="29">C52*4</f>
        <v>178</v>
      </c>
      <c r="F52" s="3">
        <f t="shared" ref="F52:F53" si="30">D52/J44</f>
        <v>12.15846995</v>
      </c>
    </row>
    <row r="53">
      <c r="C53" s="3">
        <f>C52</f>
        <v>44.5</v>
      </c>
      <c r="D53" s="3">
        <f t="shared" si="29"/>
        <v>178</v>
      </c>
      <c r="F53" s="3">
        <f t="shared" si="30"/>
        <v>9.270833333</v>
      </c>
    </row>
    <row r="54">
      <c r="C54" s="3">
        <f>C52</f>
        <v>44.5</v>
      </c>
      <c r="D54" s="3">
        <f t="shared" si="29"/>
        <v>178</v>
      </c>
      <c r="H54" s="3">
        <f>D54/J46</f>
        <v>12.19178082</v>
      </c>
      <c r="M54" s="3">
        <f>(J44+J45)/2</f>
        <v>16.92</v>
      </c>
    </row>
    <row r="55">
      <c r="F55" s="1">
        <f t="shared" ref="F55:G55" si="31">sum(F52:F53)</f>
        <v>21.42930328</v>
      </c>
      <c r="G55" s="1">
        <f t="shared" si="31"/>
        <v>0</v>
      </c>
      <c r="H55" s="1">
        <f>sum(H52:H54)</f>
        <v>12.19178082</v>
      </c>
      <c r="I55" s="1"/>
    </row>
    <row r="56">
      <c r="H56" s="1"/>
      <c r="I56" s="1"/>
    </row>
    <row r="57">
      <c r="H57" s="1" t="s">
        <v>50</v>
      </c>
      <c r="I57" s="1" t="s">
        <v>51</v>
      </c>
    </row>
    <row r="58">
      <c r="B58" s="1" t="s">
        <v>54</v>
      </c>
      <c r="C58" s="1">
        <v>5.2</v>
      </c>
      <c r="D58" s="1">
        <v>8.0</v>
      </c>
      <c r="F58" s="1">
        <v>8.5</v>
      </c>
      <c r="H58" s="3">
        <f>sum(C58:F58)</f>
        <v>21.7</v>
      </c>
      <c r="I58" s="3">
        <f>H58*4</f>
        <v>86.8</v>
      </c>
    </row>
    <row r="61">
      <c r="F61" s="3">
        <f>18+14+11</f>
        <v>43</v>
      </c>
      <c r="H61" s="3">
        <f>17+14</f>
        <v>31</v>
      </c>
    </row>
    <row r="66">
      <c r="B66" s="33" t="s">
        <v>55</v>
      </c>
      <c r="C66" s="25" t="s">
        <v>52</v>
      </c>
      <c r="D66" s="25" t="s">
        <v>56</v>
      </c>
      <c r="E66" s="20"/>
      <c r="F66" s="25" t="s">
        <v>57</v>
      </c>
      <c r="G66" s="20"/>
      <c r="H66" s="25" t="s">
        <v>58</v>
      </c>
      <c r="I66" s="25" t="s">
        <v>59</v>
      </c>
      <c r="J66" s="25" t="s">
        <v>60</v>
      </c>
      <c r="K66" s="34"/>
    </row>
    <row r="67">
      <c r="B67" s="24" t="s">
        <v>14</v>
      </c>
      <c r="F67" s="1">
        <v>4.866</v>
      </c>
      <c r="K67" s="26"/>
    </row>
    <row r="68">
      <c r="B68" s="24" t="s">
        <v>23</v>
      </c>
      <c r="C68" s="1">
        <v>5.25</v>
      </c>
      <c r="D68" s="1">
        <v>5.25</v>
      </c>
      <c r="F68" s="1">
        <v>5.05</v>
      </c>
      <c r="H68" s="1">
        <v>4.6833</v>
      </c>
      <c r="K68" s="26"/>
    </row>
    <row r="69">
      <c r="B69" s="24" t="s">
        <v>20</v>
      </c>
      <c r="C69" s="1">
        <v>5.75</v>
      </c>
      <c r="D69" s="1">
        <v>5.8</v>
      </c>
      <c r="F69" s="1">
        <v>6.0</v>
      </c>
      <c r="H69" s="1">
        <v>5.6166</v>
      </c>
      <c r="I69" s="1">
        <v>7.116</v>
      </c>
      <c r="K69" s="26"/>
    </row>
    <row r="70">
      <c r="B70" s="24" t="s">
        <v>61</v>
      </c>
      <c r="C70" s="1">
        <v>6.75</v>
      </c>
      <c r="D70" s="1">
        <v>6.75</v>
      </c>
      <c r="F70" s="1">
        <v>6.55</v>
      </c>
      <c r="H70" s="1">
        <v>6.1833</v>
      </c>
      <c r="K70" s="26"/>
    </row>
    <row r="71">
      <c r="B71" s="24" t="s">
        <v>13</v>
      </c>
      <c r="C71" s="1">
        <v>7.75</v>
      </c>
      <c r="D71" s="1">
        <v>7.3</v>
      </c>
      <c r="F71" s="1">
        <v>7.1166</v>
      </c>
      <c r="H71" s="1">
        <v>6.75</v>
      </c>
      <c r="K71" s="26"/>
    </row>
    <row r="72">
      <c r="B72" s="24" t="s">
        <v>62</v>
      </c>
      <c r="D72" s="1">
        <v>8.25</v>
      </c>
      <c r="F72" s="1">
        <v>8.05</v>
      </c>
      <c r="H72" s="1">
        <v>7.6833</v>
      </c>
      <c r="K72" s="26"/>
    </row>
    <row r="73">
      <c r="B73" s="24" t="s">
        <v>63</v>
      </c>
      <c r="D73" s="1" t="s">
        <v>64</v>
      </c>
      <c r="K73" s="26"/>
    </row>
    <row r="74">
      <c r="B74" s="24"/>
      <c r="K74" s="26"/>
    </row>
    <row r="75">
      <c r="B75" s="35" t="s">
        <v>65</v>
      </c>
      <c r="C75" s="30">
        <f t="shared" ref="C75:J75" si="32">sum(C67:C73)</f>
        <v>25.5</v>
      </c>
      <c r="D75" s="30">
        <f t="shared" si="32"/>
        <v>33.35</v>
      </c>
      <c r="E75" s="30">
        <f t="shared" si="32"/>
        <v>0</v>
      </c>
      <c r="F75" s="30">
        <f t="shared" si="32"/>
        <v>37.6326</v>
      </c>
      <c r="G75" s="30">
        <f t="shared" si="32"/>
        <v>0</v>
      </c>
      <c r="H75" s="30">
        <f t="shared" si="32"/>
        <v>30.9165</v>
      </c>
      <c r="I75" s="30">
        <f t="shared" si="32"/>
        <v>7.116</v>
      </c>
      <c r="J75" s="30">
        <f t="shared" si="32"/>
        <v>0</v>
      </c>
      <c r="K75" s="32">
        <f>sum(C75:J75)</f>
        <v>134.5151</v>
      </c>
    </row>
    <row r="77">
      <c r="B77" s="33" t="s">
        <v>55</v>
      </c>
      <c r="C77" s="36" t="s">
        <v>52</v>
      </c>
      <c r="D77" s="25" t="s">
        <v>66</v>
      </c>
      <c r="E77" s="20"/>
      <c r="F77" s="25" t="s">
        <v>67</v>
      </c>
      <c r="G77" s="20"/>
      <c r="H77" s="25" t="s">
        <v>25</v>
      </c>
      <c r="I77" s="25" t="s">
        <v>10</v>
      </c>
      <c r="J77" s="37" t="s">
        <v>57</v>
      </c>
      <c r="K77" s="25" t="s">
        <v>66</v>
      </c>
      <c r="L77" s="25" t="s">
        <v>67</v>
      </c>
      <c r="M77" s="25" t="s">
        <v>25</v>
      </c>
      <c r="N77" s="38" t="s">
        <v>10</v>
      </c>
      <c r="O77" s="39" t="s">
        <v>68</v>
      </c>
      <c r="P77" s="25" t="s">
        <v>66</v>
      </c>
      <c r="Q77" s="25" t="s">
        <v>67</v>
      </c>
      <c r="R77" s="25" t="s">
        <v>25</v>
      </c>
      <c r="S77" s="38" t="s">
        <v>10</v>
      </c>
    </row>
    <row r="78">
      <c r="B78" s="24" t="s">
        <v>14</v>
      </c>
      <c r="J78" s="24"/>
      <c r="N78" s="40"/>
      <c r="O78" s="24"/>
      <c r="S78" s="40"/>
    </row>
    <row r="79">
      <c r="B79" s="24" t="s">
        <v>23</v>
      </c>
      <c r="K79" s="3" t="s">
        <v>64</v>
      </c>
      <c r="O79" s="24"/>
      <c r="S79" s="40"/>
    </row>
    <row r="80">
      <c r="B80" s="24" t="s">
        <v>20</v>
      </c>
      <c r="O80" s="24"/>
      <c r="S80" s="40"/>
    </row>
    <row r="81">
      <c r="B81" s="41" t="s">
        <v>61</v>
      </c>
      <c r="C81" s="42">
        <v>6.75</v>
      </c>
      <c r="D81" s="43" t="s">
        <v>69</v>
      </c>
      <c r="E81" s="44"/>
      <c r="F81" s="42">
        <v>2275.0</v>
      </c>
      <c r="G81" s="44"/>
      <c r="H81" s="42">
        <v>2600.0</v>
      </c>
      <c r="I81" s="42">
        <v>3900.0</v>
      </c>
      <c r="P81" s="45"/>
      <c r="S81" s="40"/>
    </row>
    <row r="82">
      <c r="B82" s="24" t="s">
        <v>13</v>
      </c>
      <c r="C82" s="1">
        <v>7.75</v>
      </c>
      <c r="D82" s="43" t="s">
        <v>70</v>
      </c>
      <c r="F82" s="1">
        <v>2450.0</v>
      </c>
      <c r="H82" s="1">
        <v>2800.0</v>
      </c>
      <c r="I82" s="1">
        <v>4200.0</v>
      </c>
      <c r="J82" s="24">
        <v>4.0</v>
      </c>
      <c r="K82" s="3" t="s">
        <v>71</v>
      </c>
      <c r="L82" s="1" t="s">
        <v>64</v>
      </c>
      <c r="M82" s="1" t="s">
        <v>64</v>
      </c>
      <c r="N82" s="40" t="s">
        <v>64</v>
      </c>
      <c r="P82" s="46"/>
      <c r="S82" s="40"/>
    </row>
    <row r="83">
      <c r="B83" s="24" t="s">
        <v>62</v>
      </c>
      <c r="J83" s="24">
        <v>8.05</v>
      </c>
      <c r="K83" s="43" t="s">
        <v>72</v>
      </c>
      <c r="L83" s="1">
        <v>1800.0</v>
      </c>
      <c r="M83" s="1">
        <v>2175.0</v>
      </c>
      <c r="N83" s="40">
        <v>2775.0</v>
      </c>
      <c r="O83" s="47"/>
      <c r="P83" s="48"/>
      <c r="Q83" s="47"/>
      <c r="R83" s="47"/>
      <c r="S83" s="49"/>
    </row>
    <row r="84">
      <c r="B84" s="24" t="s">
        <v>63</v>
      </c>
      <c r="J84" s="28"/>
      <c r="N84" s="26"/>
      <c r="O84" s="28"/>
      <c r="S84" s="26"/>
    </row>
    <row r="85">
      <c r="B85" s="28"/>
      <c r="J85" s="28"/>
      <c r="N85" s="26"/>
      <c r="O85" s="28"/>
      <c r="S85" s="26"/>
    </row>
    <row r="86">
      <c r="B86" s="50" t="s">
        <v>42</v>
      </c>
      <c r="C86" s="51">
        <f>sum(C78:C84)</f>
        <v>14.5</v>
      </c>
      <c r="D86" s="50" t="s">
        <v>73</v>
      </c>
      <c r="E86" s="51">
        <f t="shared" ref="E86:J86" si="33">sum(E78:E84)</f>
        <v>0</v>
      </c>
      <c r="F86" s="51">
        <f t="shared" si="33"/>
        <v>4725</v>
      </c>
      <c r="G86" s="51">
        <f t="shared" si="33"/>
        <v>0</v>
      </c>
      <c r="H86" s="51">
        <f t="shared" si="33"/>
        <v>5400</v>
      </c>
      <c r="I86" s="51">
        <f t="shared" si="33"/>
        <v>8100</v>
      </c>
      <c r="J86" s="51">
        <f t="shared" si="33"/>
        <v>12.05</v>
      </c>
      <c r="K86" s="50" t="s">
        <v>64</v>
      </c>
      <c r="L86" s="51">
        <f t="shared" ref="L86:N86" si="34">Sum(L78:L84)</f>
        <v>1800</v>
      </c>
      <c r="M86" s="51">
        <f t="shared" si="34"/>
        <v>2175</v>
      </c>
      <c r="N86" s="51">
        <f t="shared" si="34"/>
        <v>2775</v>
      </c>
      <c r="O86" s="51">
        <f>sum(O78:O84)</f>
        <v>0</v>
      </c>
      <c r="P86" s="50" t="s">
        <v>64</v>
      </c>
      <c r="Q86" s="51">
        <f t="shared" ref="Q86:S86" si="35">Sum(Q78:Q84)</f>
        <v>0</v>
      </c>
      <c r="R86" s="51">
        <f t="shared" si="35"/>
        <v>0</v>
      </c>
      <c r="S86" s="51">
        <f t="shared" si="35"/>
        <v>0</v>
      </c>
    </row>
    <row r="87">
      <c r="J87" s="28"/>
    </row>
    <row r="88">
      <c r="B88" s="33" t="s">
        <v>55</v>
      </c>
      <c r="C88" s="52" t="s">
        <v>74</v>
      </c>
      <c r="D88" s="25" t="s">
        <v>66</v>
      </c>
      <c r="E88" s="20"/>
      <c r="F88" s="25" t="s">
        <v>67</v>
      </c>
      <c r="G88" s="20"/>
      <c r="H88" s="25" t="s">
        <v>25</v>
      </c>
      <c r="I88" s="25" t="s">
        <v>10</v>
      </c>
      <c r="J88" s="53" t="s">
        <v>58</v>
      </c>
      <c r="K88" s="25" t="s">
        <v>66</v>
      </c>
      <c r="L88" s="25" t="s">
        <v>67</v>
      </c>
      <c r="M88" s="25" t="s">
        <v>25</v>
      </c>
      <c r="N88" s="38" t="s">
        <v>10</v>
      </c>
      <c r="O88" s="37" t="s">
        <v>59</v>
      </c>
      <c r="P88" s="25" t="s">
        <v>66</v>
      </c>
      <c r="Q88" s="25" t="s">
        <v>67</v>
      </c>
      <c r="R88" s="25" t="s">
        <v>25</v>
      </c>
      <c r="S88" s="38" t="s">
        <v>10</v>
      </c>
    </row>
    <row r="89">
      <c r="B89" s="24" t="s">
        <v>14</v>
      </c>
      <c r="J89" s="24" t="s">
        <v>64</v>
      </c>
      <c r="N89" s="40"/>
      <c r="O89" s="24"/>
      <c r="S89" s="40"/>
    </row>
    <row r="90">
      <c r="B90" s="1" t="s">
        <v>23</v>
      </c>
      <c r="C90" s="1" t="s">
        <v>64</v>
      </c>
      <c r="D90" s="54" t="s">
        <v>64</v>
      </c>
      <c r="F90" s="1" t="s">
        <v>64</v>
      </c>
      <c r="H90" s="1" t="s">
        <v>64</v>
      </c>
      <c r="I90" s="40" t="s">
        <v>64</v>
      </c>
      <c r="J90" s="1" t="s">
        <v>64</v>
      </c>
      <c r="K90" s="1" t="s">
        <v>64</v>
      </c>
      <c r="L90" s="1" t="s">
        <v>64</v>
      </c>
      <c r="M90" s="1" t="s">
        <v>64</v>
      </c>
      <c r="N90" s="1" t="s">
        <v>64</v>
      </c>
      <c r="O90" s="24"/>
      <c r="S90" s="40"/>
    </row>
    <row r="91">
      <c r="B91" s="24" t="s">
        <v>20</v>
      </c>
      <c r="C91" s="1"/>
      <c r="D91" s="1"/>
      <c r="E91" s="1"/>
      <c r="F91" s="1"/>
      <c r="G91" s="1"/>
      <c r="H91" s="1"/>
      <c r="I91" s="1"/>
      <c r="J91" s="1" t="s">
        <v>64</v>
      </c>
      <c r="K91" s="1"/>
      <c r="L91" s="1"/>
      <c r="M91" s="1"/>
      <c r="N91" s="1"/>
      <c r="O91" s="41"/>
      <c r="P91" s="44"/>
      <c r="Q91" s="42"/>
      <c r="R91" s="42"/>
      <c r="S91" s="55"/>
    </row>
    <row r="92">
      <c r="B92" s="24" t="s">
        <v>61</v>
      </c>
      <c r="C92" s="1"/>
      <c r="D92" s="1"/>
      <c r="E92" s="1"/>
      <c r="F92" s="1"/>
      <c r="G92" s="1"/>
      <c r="H92" s="1"/>
      <c r="I92" s="1"/>
      <c r="J92" s="1"/>
      <c r="K92" s="1"/>
      <c r="L92" s="1" t="s">
        <v>64</v>
      </c>
      <c r="M92" s="1" t="s">
        <v>64</v>
      </c>
      <c r="N92" s="40" t="s">
        <v>64</v>
      </c>
      <c r="O92" s="24"/>
      <c r="S92" s="40"/>
    </row>
    <row r="93">
      <c r="B93" s="24" t="s">
        <v>13</v>
      </c>
      <c r="I93" s="40"/>
      <c r="J93" s="1"/>
      <c r="K93" s="1"/>
      <c r="N93" s="40"/>
      <c r="O93" s="24"/>
      <c r="S93" s="40"/>
    </row>
    <row r="94">
      <c r="B94" s="24" t="s">
        <v>62</v>
      </c>
      <c r="C94" s="1">
        <v>8.25</v>
      </c>
      <c r="D94" s="3" t="s">
        <v>71</v>
      </c>
      <c r="F94" s="1">
        <v>2250.0</v>
      </c>
      <c r="H94" s="1">
        <v>2665.0</v>
      </c>
      <c r="I94" s="26">
        <v>3750.0</v>
      </c>
      <c r="J94" s="1"/>
      <c r="K94" s="1"/>
      <c r="N94" s="40"/>
      <c r="O94" s="24"/>
      <c r="S94" s="40"/>
    </row>
    <row r="95">
      <c r="B95" s="24" t="s">
        <v>63</v>
      </c>
      <c r="J95" s="28"/>
      <c r="N95" s="26"/>
      <c r="O95" s="28"/>
      <c r="S95" s="26"/>
    </row>
    <row r="96">
      <c r="B96" s="28"/>
      <c r="J96" s="28"/>
      <c r="N96" s="26"/>
      <c r="O96" s="28"/>
      <c r="S96" s="26"/>
    </row>
    <row r="97">
      <c r="B97" s="50" t="s">
        <v>42</v>
      </c>
      <c r="C97" s="51">
        <f>sum(C89:C95)</f>
        <v>8.25</v>
      </c>
      <c r="D97" s="50" t="s">
        <v>73</v>
      </c>
      <c r="E97" s="51">
        <f t="shared" ref="E97:J97" si="36">sum(E89:E95)</f>
        <v>0</v>
      </c>
      <c r="F97" s="51">
        <f t="shared" si="36"/>
        <v>2250</v>
      </c>
      <c r="G97" s="51">
        <f t="shared" si="36"/>
        <v>0</v>
      </c>
      <c r="H97" s="51">
        <f t="shared" si="36"/>
        <v>2665</v>
      </c>
      <c r="I97" s="51">
        <f t="shared" si="36"/>
        <v>3750</v>
      </c>
      <c r="J97" s="51">
        <f t="shared" si="36"/>
        <v>0</v>
      </c>
      <c r="K97" s="50" t="s">
        <v>64</v>
      </c>
      <c r="L97" s="51">
        <f t="shared" ref="L97:N97" si="37">Sum(L89:L95)</f>
        <v>0</v>
      </c>
      <c r="M97" s="51">
        <f t="shared" si="37"/>
        <v>0</v>
      </c>
      <c r="N97" s="51">
        <f t="shared" si="37"/>
        <v>0</v>
      </c>
      <c r="O97" s="51">
        <f>sum(O89:O95)</f>
        <v>0</v>
      </c>
      <c r="P97" s="50" t="s">
        <v>64</v>
      </c>
      <c r="Q97" s="51">
        <f t="shared" ref="Q97:S97" si="38">Sum(Q89:Q95)</f>
        <v>0</v>
      </c>
      <c r="R97" s="51">
        <f t="shared" si="38"/>
        <v>0</v>
      </c>
      <c r="S97" s="51">
        <f t="shared" si="38"/>
        <v>0</v>
      </c>
    </row>
    <row r="98">
      <c r="E98" s="1">
        <v>107.0</v>
      </c>
      <c r="K98" s="56"/>
      <c r="R98" s="1" t="s">
        <v>75</v>
      </c>
    </row>
    <row r="99">
      <c r="B99" s="1" t="s">
        <v>76</v>
      </c>
      <c r="C99" s="1">
        <v>12.75</v>
      </c>
      <c r="D99" s="1" t="s">
        <v>77</v>
      </c>
      <c r="E99" s="3" t="str">
        <f>B99*D99</f>
        <v>#VALUE!</v>
      </c>
      <c r="F99" s="1">
        <v>6.0</v>
      </c>
      <c r="J99" s="33" t="s">
        <v>78</v>
      </c>
      <c r="K99" s="57">
        <f>C86+J86+O86+C97+J97</f>
        <v>34.8</v>
      </c>
      <c r="M99" s="33" t="s">
        <v>31</v>
      </c>
      <c r="N99" s="25" t="s">
        <v>79</v>
      </c>
      <c r="O99" s="25" t="s">
        <v>80</v>
      </c>
      <c r="P99" s="38" t="s">
        <v>42</v>
      </c>
    </row>
    <row r="100">
      <c r="B100" s="1" t="s">
        <v>81</v>
      </c>
      <c r="C100" s="1">
        <v>11.9166</v>
      </c>
      <c r="D100" s="1" t="s">
        <v>82</v>
      </c>
      <c r="F100" s="1">
        <v>7.0</v>
      </c>
      <c r="J100" s="24" t="s">
        <v>83</v>
      </c>
      <c r="K100" s="58">
        <f>F86+L86+Q86+F97+L97</f>
        <v>8775</v>
      </c>
      <c r="M100" s="24" t="s">
        <v>12</v>
      </c>
      <c r="N100" s="59">
        <v>2888.0</v>
      </c>
      <c r="O100" s="60">
        <f t="shared" ref="O100:O104" si="39">N100*4</f>
        <v>11552</v>
      </c>
      <c r="P100" s="58">
        <f>O100*(C103/24)</f>
        <v>11150.8568</v>
      </c>
      <c r="R100" s="60">
        <f t="shared" ref="R100:R103" si="40">P100-K100</f>
        <v>2375.8568</v>
      </c>
    </row>
    <row r="101">
      <c r="C101" s="3">
        <f>C100-C99</f>
        <v>-0.8334</v>
      </c>
      <c r="E101" s="3" t="str">
        <f>E98+E99</f>
        <v>#VALUE!</v>
      </c>
      <c r="F101" s="3">
        <f>F100-F99</f>
        <v>1</v>
      </c>
      <c r="H101" s="1" t="s">
        <v>84</v>
      </c>
      <c r="J101" s="24" t="s">
        <v>85</v>
      </c>
      <c r="K101" s="58">
        <f>H86+M86+R86+H97+M97</f>
        <v>10240</v>
      </c>
      <c r="M101" s="24" t="s">
        <v>25</v>
      </c>
      <c r="N101" s="59">
        <v>1453.0</v>
      </c>
      <c r="O101" s="60">
        <f t="shared" si="39"/>
        <v>5812</v>
      </c>
      <c r="P101" s="58">
        <f>O101*(C103/24)</f>
        <v>5610.1783</v>
      </c>
      <c r="R101" s="60">
        <f t="shared" si="40"/>
        <v>-4629.8217</v>
      </c>
    </row>
    <row r="102">
      <c r="E102" s="3" t="str">
        <f>#REF!-E101</f>
        <v>#REF!</v>
      </c>
      <c r="J102" s="35" t="s">
        <v>86</v>
      </c>
      <c r="K102" s="61">
        <f>I86+N86+S86+I97+N97</f>
        <v>14625</v>
      </c>
      <c r="M102" s="35" t="s">
        <v>10</v>
      </c>
      <c r="N102" s="62">
        <v>7595.0</v>
      </c>
      <c r="O102" s="63">
        <f t="shared" si="39"/>
        <v>30380</v>
      </c>
      <c r="P102" s="61">
        <f>O102*(C103/24)</f>
        <v>29325.0545</v>
      </c>
      <c r="R102" s="60">
        <f t="shared" si="40"/>
        <v>14700.0545</v>
      </c>
    </row>
    <row r="103">
      <c r="B103" s="33" t="s">
        <v>78</v>
      </c>
      <c r="C103" s="20">
        <f>(F101*24)+C101</f>
        <v>23.1666</v>
      </c>
      <c r="D103" s="25" t="s">
        <v>87</v>
      </c>
      <c r="E103" s="20"/>
      <c r="F103" s="38" t="s">
        <v>88</v>
      </c>
      <c r="M103" s="64" t="s">
        <v>22</v>
      </c>
      <c r="N103" s="65">
        <v>2306.0</v>
      </c>
      <c r="O103" s="66">
        <f t="shared" si="39"/>
        <v>9224</v>
      </c>
      <c r="P103" s="67">
        <f t="shared" ref="P103:P104" si="41">O103*(C103/24)</f>
        <v>8903.6966</v>
      </c>
      <c r="R103" s="60">
        <f t="shared" si="40"/>
        <v>8903.6966</v>
      </c>
    </row>
    <row r="104">
      <c r="B104" s="35" t="s">
        <v>89</v>
      </c>
      <c r="C104" s="30">
        <f>C103*2</f>
        <v>46.3332</v>
      </c>
      <c r="D104" s="68" t="s">
        <v>87</v>
      </c>
      <c r="E104" s="30"/>
      <c r="F104" s="61">
        <f>C104-K99</f>
        <v>11.5332</v>
      </c>
      <c r="M104" s="64" t="s">
        <v>90</v>
      </c>
      <c r="N104" s="65">
        <v>1603.0</v>
      </c>
      <c r="O104" s="66">
        <f t="shared" si="39"/>
        <v>6412</v>
      </c>
      <c r="P104" s="67">
        <f t="shared" si="41"/>
        <v>12378.6866</v>
      </c>
    </row>
    <row r="105">
      <c r="M105" s="1" t="s">
        <v>91</v>
      </c>
      <c r="N105" s="1" t="s">
        <v>52</v>
      </c>
      <c r="P105" s="1" t="s">
        <v>57</v>
      </c>
    </row>
    <row r="106">
      <c r="M106" s="1" t="s">
        <v>12</v>
      </c>
      <c r="N106" s="1">
        <v>90.0</v>
      </c>
      <c r="O106" s="3">
        <f>I114*N106</f>
        <v>90</v>
      </c>
      <c r="P106" s="1">
        <v>65.0</v>
      </c>
      <c r="Q106" s="3">
        <f>I120*P106</f>
        <v>0</v>
      </c>
      <c r="S106" s="3">
        <f t="shared" ref="S106:S107" si="42">O106+Q106</f>
        <v>90</v>
      </c>
      <c r="T106" s="1" t="s">
        <v>92</v>
      </c>
    </row>
    <row r="107">
      <c r="M107" s="1" t="s">
        <v>90</v>
      </c>
      <c r="N107" s="1">
        <v>30.0</v>
      </c>
      <c r="O107" s="3">
        <f>N107*I114</f>
        <v>30</v>
      </c>
      <c r="P107" s="1">
        <v>25.0</v>
      </c>
      <c r="Q107" s="3">
        <f>I120*P107</f>
        <v>0</v>
      </c>
      <c r="S107" s="3">
        <f t="shared" si="42"/>
        <v>30</v>
      </c>
      <c r="T107" s="1" t="s">
        <v>92</v>
      </c>
    </row>
    <row r="109">
      <c r="Q109" s="33" t="s">
        <v>93</v>
      </c>
      <c r="R109" s="38" t="s">
        <v>88</v>
      </c>
    </row>
    <row r="110">
      <c r="O110" s="1" t="s">
        <v>94</v>
      </c>
      <c r="Q110" s="29">
        <f>L111+L117+L123</f>
        <v>8</v>
      </c>
      <c r="R110" s="32">
        <f>Q110/3</f>
        <v>2.666666667</v>
      </c>
    </row>
    <row r="111">
      <c r="B111" s="1" t="s">
        <v>52</v>
      </c>
      <c r="C111" s="1">
        <v>5.5</v>
      </c>
      <c r="D111" s="1" t="s">
        <v>87</v>
      </c>
      <c r="I111" s="1">
        <v>39.0</v>
      </c>
      <c r="J111" s="1" t="s">
        <v>95</v>
      </c>
      <c r="L111" s="3">
        <f>C111*I114</f>
        <v>5.5</v>
      </c>
      <c r="O111" s="3">
        <f>L111/2</f>
        <v>2.75</v>
      </c>
    </row>
    <row r="112">
      <c r="C112" s="1">
        <v>1500.0</v>
      </c>
      <c r="D112" s="1" t="s">
        <v>67</v>
      </c>
      <c r="I112" s="1">
        <v>36.0</v>
      </c>
      <c r="J112" s="1" t="s">
        <v>96</v>
      </c>
      <c r="L112" s="60">
        <f>C112*I114</f>
        <v>1500</v>
      </c>
      <c r="N112" s="60">
        <f>R100-L112</f>
        <v>875.8568</v>
      </c>
    </row>
    <row r="113">
      <c r="C113" s="1">
        <v>800.0</v>
      </c>
      <c r="D113" s="1" t="s">
        <v>97</v>
      </c>
      <c r="I113" s="1">
        <v>2.0</v>
      </c>
      <c r="J113" s="1" t="s">
        <v>98</v>
      </c>
      <c r="L113" s="60">
        <f>C113*I114</f>
        <v>800</v>
      </c>
      <c r="N113" s="60">
        <f>R103-L113</f>
        <v>8103.6966</v>
      </c>
    </row>
    <row r="114">
      <c r="C114" s="1">
        <v>1800.0</v>
      </c>
      <c r="D114" s="1" t="s">
        <v>10</v>
      </c>
      <c r="I114" s="3">
        <f>I111-I112-I113</f>
        <v>1</v>
      </c>
      <c r="J114" s="1" t="s">
        <v>99</v>
      </c>
      <c r="L114" s="60">
        <f>C114*I114</f>
        <v>1800</v>
      </c>
      <c r="N114" s="60">
        <f>R102-L114</f>
        <v>12900.0545</v>
      </c>
    </row>
    <row r="115">
      <c r="C115" s="1">
        <v>500.0</v>
      </c>
      <c r="D115" s="1" t="s">
        <v>90</v>
      </c>
      <c r="L115" s="60">
        <f>C115*I114</f>
        <v>500</v>
      </c>
    </row>
    <row r="117">
      <c r="B117" s="1" t="s">
        <v>57</v>
      </c>
      <c r="C117" s="1">
        <v>4.75</v>
      </c>
      <c r="D117" s="1" t="s">
        <v>87</v>
      </c>
      <c r="I117" s="1">
        <v>6.0</v>
      </c>
      <c r="J117" s="1" t="s">
        <v>95</v>
      </c>
      <c r="L117" s="3">
        <f>C117*I120</f>
        <v>0</v>
      </c>
      <c r="O117" s="3">
        <f>L117</f>
        <v>0</v>
      </c>
    </row>
    <row r="118">
      <c r="C118" s="1">
        <v>500.0</v>
      </c>
      <c r="D118" s="1" t="s">
        <v>67</v>
      </c>
      <c r="I118" s="1">
        <v>6.0</v>
      </c>
      <c r="J118" s="1" t="s">
        <v>96</v>
      </c>
      <c r="L118" s="3">
        <f>I120*C118</f>
        <v>0</v>
      </c>
    </row>
    <row r="119">
      <c r="C119" s="1">
        <v>900.0</v>
      </c>
      <c r="D119" s="1" t="s">
        <v>100</v>
      </c>
      <c r="I119" s="1">
        <v>0.0</v>
      </c>
      <c r="J119" s="1" t="s">
        <v>98</v>
      </c>
      <c r="L119" s="3">
        <f>I120*C119</f>
        <v>0</v>
      </c>
    </row>
    <row r="120">
      <c r="C120" s="1">
        <v>1800.0</v>
      </c>
      <c r="D120" s="1" t="s">
        <v>10</v>
      </c>
      <c r="I120" s="3">
        <f>I117-I118-I119</f>
        <v>0</v>
      </c>
      <c r="J120" s="1" t="s">
        <v>99</v>
      </c>
      <c r="L120" s="3">
        <f>I120*C120</f>
        <v>0</v>
      </c>
    </row>
    <row r="121">
      <c r="C121" s="1">
        <v>1000.0</v>
      </c>
      <c r="D121" s="1" t="s">
        <v>90</v>
      </c>
      <c r="L121" s="3">
        <f>I120*C121</f>
        <v>0</v>
      </c>
    </row>
    <row r="123">
      <c r="B123" s="1" t="s">
        <v>56</v>
      </c>
      <c r="C123" s="1">
        <v>4.0</v>
      </c>
      <c r="D123" s="1" t="s">
        <v>101</v>
      </c>
      <c r="I123" s="1">
        <v>0.0</v>
      </c>
      <c r="J123" s="1" t="s">
        <v>98</v>
      </c>
      <c r="L123" s="1">
        <v>2.5</v>
      </c>
      <c r="O123" s="3">
        <f>L123</f>
        <v>2.5</v>
      </c>
    </row>
    <row r="124">
      <c r="C124" s="1">
        <v>1300.0</v>
      </c>
      <c r="D124" s="1" t="s">
        <v>67</v>
      </c>
    </row>
    <row r="125">
      <c r="C125" s="1">
        <v>500.0</v>
      </c>
      <c r="D125" s="1" t="s">
        <v>97</v>
      </c>
    </row>
    <row r="126">
      <c r="C126" s="1">
        <v>350.0</v>
      </c>
      <c r="D126" s="1" t="s">
        <v>90</v>
      </c>
    </row>
  </sheetData>
  <mergeCells count="2">
    <mergeCell ref="F18:F22"/>
    <mergeCell ref="K42:P42"/>
  </mergeCells>
  <dataValidations>
    <dataValidation type="list" allowBlank="1" showErrorMessage="1" sqref="D4:D11 F4:F11 H4:H11 J4:J11 D13:D15">
      <formula1>"None,Lvl 1,Lvl 2,Lvl 3,Lvl 4,Lvl 5"</formula1>
    </dataValidation>
    <dataValidation type="list" allowBlank="1" showErrorMessage="1" sqref="C4:C11 C13:C15">
      <formula1>"Supplies,Components,Fuel,Electronics,Rare"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hidden="1" min="5" max="5" width="12.63"/>
    <col hidden="1" min="7" max="7" width="12.63"/>
  </cols>
  <sheetData>
    <row r="1">
      <c r="A1" s="1" t="s">
        <v>0</v>
      </c>
    </row>
    <row r="2">
      <c r="B2" s="1"/>
      <c r="C2" s="1"/>
      <c r="D2" s="1"/>
      <c r="F2" s="1"/>
      <c r="H2" s="1"/>
      <c r="I2" s="1"/>
      <c r="J2" s="1"/>
      <c r="K2" s="1"/>
      <c r="L2" s="1"/>
      <c r="M2" s="1"/>
    </row>
    <row r="3">
      <c r="B3" s="1" t="s">
        <v>1</v>
      </c>
      <c r="C3" s="1" t="s">
        <v>2</v>
      </c>
      <c r="D3" s="1" t="s">
        <v>3</v>
      </c>
      <c r="F3" s="1" t="s">
        <v>4</v>
      </c>
      <c r="H3" s="1" t="s">
        <v>5</v>
      </c>
      <c r="J3" s="1" t="s">
        <v>6</v>
      </c>
      <c r="K3" s="1"/>
      <c r="L3" s="1" t="s">
        <v>7</v>
      </c>
      <c r="M3" s="1" t="s">
        <v>8</v>
      </c>
      <c r="N3" s="1" t="s">
        <v>9</v>
      </c>
      <c r="O3" s="1" t="s">
        <v>10</v>
      </c>
    </row>
    <row r="4">
      <c r="A4" s="1" t="s">
        <v>11</v>
      </c>
      <c r="B4" s="1">
        <v>253.0</v>
      </c>
      <c r="C4" s="1" t="s">
        <v>12</v>
      </c>
      <c r="D4" s="1" t="s">
        <v>13</v>
      </c>
      <c r="E4" s="2">
        <f t="shared" ref="E4:E11" si="1">IFS(D4="Lvl 1", 1.1, D4="Lvl 2", 1.2, D4="Lvl 3", 1.3, D4="Lvl 5", 1.5, D4="Lvl 4", 1.4, D4="None", 1)</f>
        <v>1.5</v>
      </c>
      <c r="F4" s="1" t="s">
        <v>14</v>
      </c>
      <c r="G4" s="2">
        <f t="shared" ref="G4:G11" si="2">IFS(F4="Lvl 1", 1.05, F4="Lvl 2", 1.1, F4="Lvl 3", 1.15, F4="Lvl 5", 1.25, F4="Lvl 4", 1.2, F4="None", 1)</f>
        <v>1.05</v>
      </c>
      <c r="H4" s="1" t="s">
        <v>17</v>
      </c>
      <c r="I4" s="2">
        <f t="shared" ref="I4:I11" si="3">IFS(H4="Lvl 1", 1, H4="Lvl 2", 1.05, H4="Lvl 3", 1.1, H4="Lvl 5", 1.2, H4="Lvl 4", 1.15, H4="None", 1)</f>
        <v>1</v>
      </c>
      <c r="J4" s="1" t="s">
        <v>14</v>
      </c>
      <c r="K4" s="3">
        <f t="shared" ref="K4:K11" si="4">IFS(J4="Lvl 1", 1.05, J4="Lvl 2", 1.1, J4="Lvl 3", 1.15, J4="Lvl 5", 1.25, J4="Lvl 4", 1.2, J4="None", 1)</f>
        <v>1.05</v>
      </c>
      <c r="L4" s="4">
        <v>1.0</v>
      </c>
      <c r="M4" s="5">
        <v>7.6</v>
      </c>
      <c r="N4" s="3">
        <f t="shared" ref="N4:N9" si="5">B4*(E4*G4*I4*L4*M4)</f>
        <v>3028.41</v>
      </c>
      <c r="O4" s="1"/>
      <c r="P4" s="3">
        <f>countif(C4, Components)</f>
        <v>0</v>
      </c>
    </row>
    <row r="5">
      <c r="A5" s="1" t="s">
        <v>15</v>
      </c>
      <c r="B5" s="1">
        <v>255.0</v>
      </c>
      <c r="C5" s="1" t="s">
        <v>16</v>
      </c>
      <c r="D5" s="1" t="s">
        <v>14</v>
      </c>
      <c r="E5" s="2">
        <f t="shared" si="1"/>
        <v>1.1</v>
      </c>
      <c r="F5" s="1" t="s">
        <v>17</v>
      </c>
      <c r="G5" s="2">
        <f t="shared" si="2"/>
        <v>1</v>
      </c>
      <c r="H5" s="1" t="s">
        <v>17</v>
      </c>
      <c r="I5" s="2">
        <f t="shared" si="3"/>
        <v>1</v>
      </c>
      <c r="J5" s="1" t="s">
        <v>17</v>
      </c>
      <c r="K5" s="3">
        <f t="shared" si="4"/>
        <v>1</v>
      </c>
      <c r="L5" s="4">
        <v>0.92</v>
      </c>
      <c r="M5" s="1">
        <v>7.2</v>
      </c>
      <c r="N5" s="3">
        <f t="shared" si="5"/>
        <v>1858.032</v>
      </c>
    </row>
    <row r="6">
      <c r="A6" s="1" t="s">
        <v>18</v>
      </c>
      <c r="B6" s="1">
        <v>300.0</v>
      </c>
      <c r="C6" s="1" t="s">
        <v>19</v>
      </c>
      <c r="D6" s="1" t="s">
        <v>20</v>
      </c>
      <c r="E6" s="2">
        <f t="shared" si="1"/>
        <v>1.3</v>
      </c>
      <c r="F6" s="1" t="s">
        <v>17</v>
      </c>
      <c r="G6" s="2">
        <f t="shared" si="2"/>
        <v>1</v>
      </c>
      <c r="H6" s="1" t="s">
        <v>17</v>
      </c>
      <c r="I6" s="2">
        <f t="shared" si="3"/>
        <v>1</v>
      </c>
      <c r="J6" s="1" t="s">
        <v>17</v>
      </c>
      <c r="K6" s="3">
        <f t="shared" si="4"/>
        <v>1</v>
      </c>
      <c r="L6" s="4">
        <v>0.92</v>
      </c>
      <c r="M6" s="1">
        <v>7.0</v>
      </c>
      <c r="N6" s="3">
        <f t="shared" si="5"/>
        <v>2511.6</v>
      </c>
    </row>
    <row r="7">
      <c r="A7" s="1" t="s">
        <v>21</v>
      </c>
      <c r="B7" s="1">
        <v>310.0</v>
      </c>
      <c r="C7" s="1" t="s">
        <v>22</v>
      </c>
      <c r="D7" s="1" t="s">
        <v>13</v>
      </c>
      <c r="E7" s="2">
        <f t="shared" si="1"/>
        <v>1.5</v>
      </c>
      <c r="F7" s="1" t="s">
        <v>17</v>
      </c>
      <c r="G7" s="2">
        <f t="shared" si="2"/>
        <v>1</v>
      </c>
      <c r="H7" s="1" t="s">
        <v>61</v>
      </c>
      <c r="I7" s="2">
        <f t="shared" si="3"/>
        <v>1.15</v>
      </c>
      <c r="J7" s="1" t="s">
        <v>14</v>
      </c>
      <c r="K7" s="3">
        <f t="shared" si="4"/>
        <v>1.05</v>
      </c>
      <c r="L7" s="69">
        <v>0.92</v>
      </c>
      <c r="M7" s="1">
        <v>5.4</v>
      </c>
      <c r="N7" s="3">
        <f t="shared" si="5"/>
        <v>2656.638</v>
      </c>
    </row>
    <row r="8">
      <c r="A8" s="1" t="s">
        <v>24</v>
      </c>
      <c r="B8" s="1">
        <v>180.0</v>
      </c>
      <c r="C8" s="1" t="s">
        <v>25</v>
      </c>
      <c r="D8" s="1" t="s">
        <v>13</v>
      </c>
      <c r="E8" s="2">
        <f t="shared" si="1"/>
        <v>1.5</v>
      </c>
      <c r="F8" s="1" t="s">
        <v>17</v>
      </c>
      <c r="G8" s="2">
        <f t="shared" si="2"/>
        <v>1</v>
      </c>
      <c r="H8" s="1" t="s">
        <v>17</v>
      </c>
      <c r="I8" s="2">
        <f t="shared" si="3"/>
        <v>1</v>
      </c>
      <c r="J8" s="1" t="s">
        <v>17</v>
      </c>
      <c r="K8" s="3">
        <f t="shared" si="4"/>
        <v>1</v>
      </c>
      <c r="L8" s="4">
        <v>0.94</v>
      </c>
      <c r="M8" s="1">
        <v>7.2</v>
      </c>
      <c r="N8" s="3">
        <f t="shared" si="5"/>
        <v>1827.36</v>
      </c>
    </row>
    <row r="9">
      <c r="A9" s="1" t="s">
        <v>26</v>
      </c>
      <c r="B9" s="1">
        <v>253.0</v>
      </c>
      <c r="C9" s="1" t="s">
        <v>12</v>
      </c>
      <c r="D9" s="1" t="s">
        <v>13</v>
      </c>
      <c r="E9" s="2">
        <f t="shared" si="1"/>
        <v>1.5</v>
      </c>
      <c r="F9" s="1" t="s">
        <v>17</v>
      </c>
      <c r="G9" s="2">
        <f t="shared" si="2"/>
        <v>1</v>
      </c>
      <c r="H9" s="1" t="s">
        <v>17</v>
      </c>
      <c r="I9" s="2">
        <f t="shared" si="3"/>
        <v>1</v>
      </c>
      <c r="J9" s="1" t="s">
        <v>17</v>
      </c>
      <c r="K9" s="3">
        <f t="shared" si="4"/>
        <v>1</v>
      </c>
      <c r="L9" s="4">
        <v>0.92</v>
      </c>
      <c r="M9" s="1">
        <v>7.2</v>
      </c>
      <c r="N9" s="3">
        <f t="shared" si="5"/>
        <v>2513.808</v>
      </c>
    </row>
    <row r="10">
      <c r="A10" s="1" t="s">
        <v>27</v>
      </c>
      <c r="C10" s="1" t="s">
        <v>12</v>
      </c>
      <c r="D10" s="1" t="s">
        <v>17</v>
      </c>
      <c r="E10" s="2">
        <f t="shared" si="1"/>
        <v>1</v>
      </c>
      <c r="F10" s="1" t="s">
        <v>17</v>
      </c>
      <c r="G10" s="2">
        <f t="shared" si="2"/>
        <v>1</v>
      </c>
      <c r="H10" s="1" t="s">
        <v>17</v>
      </c>
      <c r="I10" s="2">
        <f t="shared" si="3"/>
        <v>1</v>
      </c>
      <c r="J10" s="1" t="s">
        <v>17</v>
      </c>
      <c r="K10" s="3">
        <f t="shared" si="4"/>
        <v>1</v>
      </c>
      <c r="L10" s="6"/>
    </row>
    <row r="11">
      <c r="A11" s="1" t="s">
        <v>28</v>
      </c>
      <c r="C11" s="1" t="s">
        <v>12</v>
      </c>
      <c r="D11" s="1" t="s">
        <v>17</v>
      </c>
      <c r="E11" s="2">
        <f t="shared" si="1"/>
        <v>1</v>
      </c>
      <c r="F11" s="1" t="s">
        <v>17</v>
      </c>
      <c r="G11" s="2">
        <f t="shared" si="2"/>
        <v>1</v>
      </c>
      <c r="H11" s="1" t="s">
        <v>17</v>
      </c>
      <c r="I11" s="2">
        <f t="shared" si="3"/>
        <v>1</v>
      </c>
      <c r="J11" s="1" t="s">
        <v>17</v>
      </c>
      <c r="K11" s="3">
        <f t="shared" si="4"/>
        <v>1</v>
      </c>
      <c r="L11" s="6"/>
    </row>
    <row r="13">
      <c r="A13" s="1" t="s">
        <v>29</v>
      </c>
      <c r="B13" s="1">
        <v>165.0</v>
      </c>
      <c r="C13" s="1" t="s">
        <v>19</v>
      </c>
      <c r="D13" s="1" t="s">
        <v>20</v>
      </c>
      <c r="E13" s="3">
        <f t="shared" ref="E13:E15" si="6">IFS(D13="Lvl 1", 2, D13="Lvl 2", 2.5, D13="Lvl 3", 3)</f>
        <v>3</v>
      </c>
      <c r="L13" s="4">
        <v>1.0</v>
      </c>
      <c r="N13" s="3">
        <f t="shared" ref="N13:N15" si="7">B13*(E13*L13)</f>
        <v>495</v>
      </c>
    </row>
    <row r="14">
      <c r="B14" s="1">
        <v>147.0</v>
      </c>
      <c r="C14" s="1" t="s">
        <v>16</v>
      </c>
      <c r="D14" s="1" t="s">
        <v>14</v>
      </c>
      <c r="E14" s="3">
        <f t="shared" si="6"/>
        <v>2</v>
      </c>
      <c r="L14" s="4">
        <v>1.0</v>
      </c>
      <c r="N14" s="3">
        <f t="shared" si="7"/>
        <v>294</v>
      </c>
    </row>
    <row r="15">
      <c r="B15" s="1">
        <v>118.0</v>
      </c>
      <c r="C15" s="1" t="s">
        <v>22</v>
      </c>
      <c r="D15" s="1" t="s">
        <v>20</v>
      </c>
      <c r="E15" s="3">
        <f t="shared" si="6"/>
        <v>3</v>
      </c>
      <c r="L15" s="4">
        <v>1.0</v>
      </c>
      <c r="N15" s="3">
        <f t="shared" si="7"/>
        <v>354</v>
      </c>
    </row>
    <row r="17">
      <c r="F17" s="1" t="s">
        <v>30</v>
      </c>
      <c r="H17" s="1" t="s">
        <v>31</v>
      </c>
      <c r="I17" s="1" t="s">
        <v>32</v>
      </c>
      <c r="J17" s="1" t="s">
        <v>33</v>
      </c>
      <c r="K17" s="1" t="s">
        <v>102</v>
      </c>
    </row>
    <row r="18">
      <c r="B18" s="1" t="s">
        <v>34</v>
      </c>
      <c r="C18" s="7" t="s">
        <v>12</v>
      </c>
      <c r="D18" s="8">
        <f>sumif(C4:C15,"Supplies",N4:N15)</f>
        <v>5542.218</v>
      </c>
      <c r="F18" s="9">
        <v>1.0</v>
      </c>
      <c r="H18" s="8">
        <f t="shared" ref="H18:H22" si="8">D18*$F$18</f>
        <v>5542.218</v>
      </c>
      <c r="I18" s="8">
        <f>F18*(K35+K43)</f>
        <v>1120</v>
      </c>
      <c r="J18" s="8">
        <f t="shared" ref="J18:J22" si="9">H18-I18</f>
        <v>4422.218</v>
      </c>
      <c r="K18" s="70">
        <f>K45</f>
        <v>1611.458333</v>
      </c>
      <c r="L18" s="71">
        <f t="shared" ref="L18:L22" si="10">J18-K18</f>
        <v>2810.759667</v>
      </c>
    </row>
    <row r="19">
      <c r="C19" s="10" t="s">
        <v>16</v>
      </c>
      <c r="D19" s="72">
        <v>7055.0</v>
      </c>
      <c r="H19" s="11">
        <f t="shared" si="8"/>
        <v>7055</v>
      </c>
      <c r="I19" s="11">
        <f>sum(F18*(L35+L43))</f>
        <v>1200</v>
      </c>
      <c r="J19" s="11">
        <f t="shared" si="9"/>
        <v>5855</v>
      </c>
      <c r="K19" s="70">
        <f>L45</f>
        <v>8677.083333</v>
      </c>
      <c r="L19" s="71">
        <f t="shared" si="10"/>
        <v>-2822.083333</v>
      </c>
    </row>
    <row r="20">
      <c r="C20" s="12" t="s">
        <v>19</v>
      </c>
      <c r="D20" s="13">
        <f>sumif(C4:C15,"Fuel",N4:N15)</f>
        <v>3006.6</v>
      </c>
      <c r="H20" s="13">
        <f t="shared" si="8"/>
        <v>3006.6</v>
      </c>
      <c r="I20" s="13">
        <f>sum(F18*(M35+M43))</f>
        <v>1945</v>
      </c>
      <c r="J20" s="13">
        <f t="shared" si="9"/>
        <v>1061.6</v>
      </c>
      <c r="K20" s="70">
        <f>M45</f>
        <v>0</v>
      </c>
      <c r="L20" s="71">
        <f t="shared" si="10"/>
        <v>1061.6</v>
      </c>
    </row>
    <row r="21">
      <c r="C21" s="14" t="s">
        <v>22</v>
      </c>
      <c r="D21" s="73">
        <v>4125.0</v>
      </c>
      <c r="H21" s="15">
        <f t="shared" si="8"/>
        <v>4125</v>
      </c>
      <c r="I21" s="15">
        <f t="shared" ref="I21:I22" si="11">sum(F18*(N35+N43))</f>
        <v>510</v>
      </c>
      <c r="J21" s="15">
        <f t="shared" si="9"/>
        <v>3615</v>
      </c>
      <c r="K21" s="70">
        <f>N45</f>
        <v>4302.083333</v>
      </c>
      <c r="L21" s="71">
        <f t="shared" si="10"/>
        <v>-687.0833333</v>
      </c>
    </row>
    <row r="22">
      <c r="C22" s="16" t="s">
        <v>25</v>
      </c>
      <c r="D22" s="17">
        <f>sumif(C4:C15,"Rare",N4:N15)</f>
        <v>1827.36</v>
      </c>
      <c r="H22" s="17">
        <f t="shared" si="8"/>
        <v>1827.36</v>
      </c>
      <c r="I22" s="17">
        <f t="shared" si="11"/>
        <v>0</v>
      </c>
      <c r="J22" s="17">
        <f t="shared" si="9"/>
        <v>1827.36</v>
      </c>
      <c r="K22" s="70"/>
      <c r="L22" s="71">
        <f t="shared" si="10"/>
        <v>1827.36</v>
      </c>
    </row>
    <row r="25">
      <c r="B25" s="1" t="s">
        <v>35</v>
      </c>
      <c r="C25" s="1" t="s">
        <v>12</v>
      </c>
      <c r="D25" s="1" t="s">
        <v>36</v>
      </c>
      <c r="F25" s="1" t="s">
        <v>19</v>
      </c>
      <c r="H25" s="1" t="s">
        <v>22</v>
      </c>
      <c r="I25" s="1" t="s">
        <v>10</v>
      </c>
      <c r="J25" s="1" t="s">
        <v>37</v>
      </c>
      <c r="K25" s="1" t="s">
        <v>12</v>
      </c>
      <c r="L25" s="1" t="s">
        <v>36</v>
      </c>
      <c r="M25" s="1" t="s">
        <v>19</v>
      </c>
      <c r="N25" s="1" t="s">
        <v>22</v>
      </c>
      <c r="O25" s="1" t="s">
        <v>10</v>
      </c>
    </row>
    <row r="26">
      <c r="B26" s="1" t="s">
        <v>38</v>
      </c>
      <c r="F26" s="1">
        <v>55.0</v>
      </c>
      <c r="H26" s="1">
        <v>50.0</v>
      </c>
      <c r="I26" s="1">
        <v>150.0</v>
      </c>
      <c r="J26" s="1">
        <v>1.0</v>
      </c>
      <c r="K26" s="3">
        <f t="shared" ref="K26:K33" si="12">C26*J26</f>
        <v>0</v>
      </c>
      <c r="L26" s="3">
        <f t="shared" ref="L26:L33" si="13">D26*J26</f>
        <v>0</v>
      </c>
      <c r="M26" s="3">
        <f t="shared" ref="M26:M33" si="14">F26*J26</f>
        <v>55</v>
      </c>
      <c r="N26" s="3">
        <f t="shared" ref="N26:N33" si="15">H26*J26</f>
        <v>50</v>
      </c>
      <c r="O26" s="3">
        <f t="shared" ref="O26:O33" si="16">I26*J26</f>
        <v>150</v>
      </c>
    </row>
    <row r="27">
      <c r="B27" s="1" t="s">
        <v>39</v>
      </c>
      <c r="F27" s="1">
        <v>85.0</v>
      </c>
      <c r="H27" s="1">
        <v>80.0</v>
      </c>
      <c r="I27" s="1">
        <v>220.0</v>
      </c>
      <c r="J27" s="1">
        <v>0.0</v>
      </c>
      <c r="K27" s="3">
        <f t="shared" si="12"/>
        <v>0</v>
      </c>
      <c r="L27" s="3">
        <f t="shared" si="13"/>
        <v>0</v>
      </c>
      <c r="M27" s="3">
        <f t="shared" si="14"/>
        <v>0</v>
      </c>
      <c r="N27" s="3">
        <f t="shared" si="15"/>
        <v>0</v>
      </c>
      <c r="O27" s="3">
        <f t="shared" si="16"/>
        <v>0</v>
      </c>
    </row>
    <row r="28">
      <c r="B28" s="1" t="s">
        <v>40</v>
      </c>
      <c r="D28" s="1">
        <v>120.0</v>
      </c>
      <c r="F28" s="1">
        <v>65.0</v>
      </c>
      <c r="I28" s="1">
        <v>160.0</v>
      </c>
      <c r="J28" s="1">
        <v>3.0</v>
      </c>
      <c r="K28" s="3">
        <f t="shared" si="12"/>
        <v>0</v>
      </c>
      <c r="L28" s="3">
        <f t="shared" si="13"/>
        <v>360</v>
      </c>
      <c r="M28" s="3">
        <f t="shared" si="14"/>
        <v>195</v>
      </c>
      <c r="N28" s="3">
        <f t="shared" si="15"/>
        <v>0</v>
      </c>
      <c r="O28" s="3">
        <f t="shared" si="16"/>
        <v>480</v>
      </c>
    </row>
    <row r="29">
      <c r="B29" s="1" t="s">
        <v>103</v>
      </c>
      <c r="D29" s="1">
        <v>110.0</v>
      </c>
      <c r="F29" s="1">
        <v>80.0</v>
      </c>
      <c r="H29" s="1"/>
      <c r="I29" s="1">
        <v>160.0</v>
      </c>
      <c r="J29" s="1">
        <v>5.0</v>
      </c>
      <c r="K29" s="3">
        <f t="shared" si="12"/>
        <v>0</v>
      </c>
      <c r="L29" s="3">
        <f t="shared" si="13"/>
        <v>550</v>
      </c>
      <c r="M29" s="3">
        <f t="shared" si="14"/>
        <v>400</v>
      </c>
      <c r="N29" s="3">
        <f t="shared" si="15"/>
        <v>0</v>
      </c>
      <c r="O29" s="3">
        <f t="shared" si="16"/>
        <v>800</v>
      </c>
    </row>
    <row r="30">
      <c r="B30" s="1" t="s">
        <v>41</v>
      </c>
      <c r="F30" s="1">
        <v>40.0</v>
      </c>
      <c r="H30" s="1">
        <v>40.0</v>
      </c>
      <c r="I30" s="1">
        <v>80.0</v>
      </c>
      <c r="J30" s="1">
        <v>10.0</v>
      </c>
      <c r="K30" s="3">
        <f t="shared" si="12"/>
        <v>0</v>
      </c>
      <c r="L30" s="3">
        <f t="shared" si="13"/>
        <v>0</v>
      </c>
      <c r="M30" s="3">
        <f t="shared" si="14"/>
        <v>400</v>
      </c>
      <c r="N30" s="3">
        <f t="shared" si="15"/>
        <v>400</v>
      </c>
      <c r="O30" s="3">
        <f t="shared" si="16"/>
        <v>800</v>
      </c>
    </row>
    <row r="31">
      <c r="B31" s="1" t="s">
        <v>104</v>
      </c>
      <c r="D31" s="1">
        <v>145.0</v>
      </c>
      <c r="F31" s="1">
        <v>60.0</v>
      </c>
      <c r="I31" s="1">
        <v>200.0</v>
      </c>
      <c r="J31" s="1">
        <v>2.0</v>
      </c>
      <c r="K31" s="3">
        <f t="shared" si="12"/>
        <v>0</v>
      </c>
      <c r="L31" s="3">
        <f t="shared" si="13"/>
        <v>290</v>
      </c>
      <c r="M31" s="3">
        <f t="shared" si="14"/>
        <v>120</v>
      </c>
      <c r="N31" s="3">
        <f t="shared" si="15"/>
        <v>0</v>
      </c>
      <c r="O31" s="3">
        <f t="shared" si="16"/>
        <v>400</v>
      </c>
    </row>
    <row r="32">
      <c r="B32" s="1" t="s">
        <v>105</v>
      </c>
      <c r="C32" s="1">
        <v>40.0</v>
      </c>
      <c r="F32" s="1">
        <v>25.0</v>
      </c>
      <c r="I32" s="1">
        <v>55.0</v>
      </c>
      <c r="J32" s="1">
        <v>28.0</v>
      </c>
      <c r="K32" s="3">
        <f t="shared" si="12"/>
        <v>1120</v>
      </c>
      <c r="L32" s="3">
        <f t="shared" si="13"/>
        <v>0</v>
      </c>
      <c r="M32" s="3">
        <f t="shared" si="14"/>
        <v>700</v>
      </c>
      <c r="N32" s="3">
        <f t="shared" si="15"/>
        <v>0</v>
      </c>
      <c r="O32" s="3">
        <f t="shared" si="16"/>
        <v>1540</v>
      </c>
    </row>
    <row r="33">
      <c r="B33" s="1" t="s">
        <v>106</v>
      </c>
      <c r="F33" s="1">
        <v>75.0</v>
      </c>
      <c r="H33" s="1">
        <v>60.0</v>
      </c>
      <c r="I33" s="1">
        <v>200.0</v>
      </c>
      <c r="J33" s="1">
        <v>1.0</v>
      </c>
      <c r="K33" s="3">
        <f t="shared" si="12"/>
        <v>0</v>
      </c>
      <c r="L33" s="3">
        <f t="shared" si="13"/>
        <v>0</v>
      </c>
      <c r="M33" s="3">
        <f t="shared" si="14"/>
        <v>75</v>
      </c>
      <c r="N33" s="3">
        <f t="shared" si="15"/>
        <v>60</v>
      </c>
      <c r="O33" s="3">
        <f t="shared" si="16"/>
        <v>200</v>
      </c>
    </row>
    <row r="34">
      <c r="B34" s="1"/>
    </row>
    <row r="35">
      <c r="B35" s="1" t="s">
        <v>42</v>
      </c>
      <c r="K35" s="3">
        <f t="shared" ref="K35:O35" si="17">sum(K26:K33)</f>
        <v>1120</v>
      </c>
      <c r="L35" s="3">
        <f t="shared" si="17"/>
        <v>1200</v>
      </c>
      <c r="M35" s="3">
        <f t="shared" si="17"/>
        <v>1945</v>
      </c>
      <c r="N35" s="3">
        <f t="shared" si="17"/>
        <v>510</v>
      </c>
      <c r="O35" s="3">
        <f t="shared" si="17"/>
        <v>4370</v>
      </c>
    </row>
    <row r="37">
      <c r="A37" s="18" t="s">
        <v>43</v>
      </c>
      <c r="B37" s="18"/>
    </row>
    <row r="38">
      <c r="B38" s="1" t="s">
        <v>44</v>
      </c>
      <c r="J38" s="1" t="s">
        <v>45</v>
      </c>
    </row>
    <row r="39">
      <c r="A39" s="1">
        <v>0.0</v>
      </c>
      <c r="B39" s="1" t="s">
        <v>38</v>
      </c>
      <c r="D39" s="1">
        <v>1000.0</v>
      </c>
      <c r="H39" s="1">
        <v>1000.0</v>
      </c>
      <c r="I39" s="1">
        <v>3800.0</v>
      </c>
      <c r="J39" s="1">
        <f t="shared" ref="J39:J40" si="18">6*4</f>
        <v>24</v>
      </c>
      <c r="K39" s="3">
        <f t="shared" ref="K39:K42" si="19">C39*(J39/24)*A39</f>
        <v>0</v>
      </c>
      <c r="L39" s="3">
        <f t="shared" ref="L39:L42" si="20">D39*(J39/24)*A39</f>
        <v>0</v>
      </c>
      <c r="M39" s="3">
        <f t="shared" ref="M39:M42" si="21">F39*(J39/24)*A39</f>
        <v>0</v>
      </c>
      <c r="N39" s="3">
        <f t="shared" ref="N39:N42" si="22">H39*(J39/24)*A39</f>
        <v>0</v>
      </c>
      <c r="O39" s="3">
        <f t="shared" ref="O39:O42" si="23">I39*(J39/24)*A39</f>
        <v>0</v>
      </c>
    </row>
    <row r="40">
      <c r="A40" s="1">
        <v>0.0</v>
      </c>
      <c r="B40" s="1" t="s">
        <v>40</v>
      </c>
      <c r="D40" s="1">
        <v>2000.0</v>
      </c>
      <c r="H40" s="1">
        <v>1100.0</v>
      </c>
      <c r="I40" s="1">
        <v>1800.0</v>
      </c>
      <c r="J40" s="1">
        <f t="shared" si="18"/>
        <v>24</v>
      </c>
      <c r="K40" s="3">
        <f t="shared" si="19"/>
        <v>0</v>
      </c>
      <c r="L40" s="3">
        <f t="shared" si="20"/>
        <v>0</v>
      </c>
      <c r="M40" s="3">
        <f t="shared" si="21"/>
        <v>0</v>
      </c>
      <c r="N40" s="3">
        <f t="shared" si="22"/>
        <v>0</v>
      </c>
      <c r="O40" s="3">
        <f t="shared" si="23"/>
        <v>0</v>
      </c>
    </row>
    <row r="41">
      <c r="A41" s="1">
        <v>2.0</v>
      </c>
      <c r="B41" s="1" t="s">
        <v>107</v>
      </c>
      <c r="D41" s="1">
        <v>3500.0</v>
      </c>
      <c r="H41" s="1">
        <v>1200.0</v>
      </c>
      <c r="I41" s="1">
        <v>2500.0</v>
      </c>
      <c r="J41" s="3">
        <f>24+5.75</f>
        <v>29.75</v>
      </c>
      <c r="K41" s="3">
        <f t="shared" si="19"/>
        <v>0</v>
      </c>
      <c r="L41" s="3">
        <f t="shared" si="20"/>
        <v>8677.083333</v>
      </c>
      <c r="M41" s="3">
        <f t="shared" si="21"/>
        <v>0</v>
      </c>
      <c r="N41" s="3">
        <f t="shared" si="22"/>
        <v>2975</v>
      </c>
      <c r="O41" s="3">
        <f t="shared" si="23"/>
        <v>6197.916667</v>
      </c>
    </row>
    <row r="42">
      <c r="A42" s="1">
        <v>2.0</v>
      </c>
      <c r="B42" s="1" t="s">
        <v>108</v>
      </c>
      <c r="C42" s="1">
        <v>850.0</v>
      </c>
      <c r="H42" s="1">
        <v>700.0</v>
      </c>
      <c r="I42" s="1">
        <v>2800.0</v>
      </c>
      <c r="J42" s="1">
        <v>22.75</v>
      </c>
      <c r="K42" s="3">
        <f t="shared" si="19"/>
        <v>1611.458333</v>
      </c>
      <c r="L42" s="3">
        <f t="shared" si="20"/>
        <v>0</v>
      </c>
      <c r="M42" s="3">
        <f t="shared" si="21"/>
        <v>0</v>
      </c>
      <c r="N42" s="3">
        <f t="shared" si="22"/>
        <v>1327.083333</v>
      </c>
      <c r="O42" s="3">
        <f t="shared" si="23"/>
        <v>5308.333333</v>
      </c>
    </row>
    <row r="45">
      <c r="K45" s="1">
        <f t="shared" ref="K45:O45" si="24">sum(K39:K43)</f>
        <v>1611.458333</v>
      </c>
      <c r="L45" s="1">
        <f t="shared" si="24"/>
        <v>8677.083333</v>
      </c>
      <c r="M45" s="1">
        <f t="shared" si="24"/>
        <v>0</v>
      </c>
      <c r="N45" s="1">
        <f t="shared" si="24"/>
        <v>4302.083333</v>
      </c>
      <c r="O45" s="1">
        <f t="shared" si="24"/>
        <v>11506.25</v>
      </c>
    </row>
    <row r="56">
      <c r="C56" s="1">
        <v>350.0</v>
      </c>
      <c r="D56" s="3">
        <f>C56*5.9*0.46*0.25</f>
        <v>237.475</v>
      </c>
    </row>
    <row r="57">
      <c r="D57" s="1">
        <f>1800/302</f>
        <v>5.960264901</v>
      </c>
    </row>
  </sheetData>
  <mergeCells count="1">
    <mergeCell ref="F18:F22"/>
  </mergeCells>
  <dataValidations>
    <dataValidation type="list" allowBlank="1" showErrorMessage="1" sqref="D4:D11 F4:F11 H4:H11 J4:J11 D13:D15">
      <formula1>"None,Lvl 1,Lvl 2,Lvl 3,Lvl 4,Lvl 5"</formula1>
    </dataValidation>
    <dataValidation type="list" allowBlank="1" showErrorMessage="1" sqref="C4:C11 C13:C15">
      <formula1>"Supplies,Components,Fuel,Electronics,Rare"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4" t="s">
        <v>109</v>
      </c>
      <c r="C1" s="75" t="s">
        <v>44</v>
      </c>
      <c r="D1" s="22"/>
      <c r="E1" s="22"/>
      <c r="F1" s="22"/>
      <c r="G1" s="22"/>
      <c r="H1" s="23"/>
      <c r="I1" s="75" t="s">
        <v>110</v>
      </c>
      <c r="J1" s="22"/>
      <c r="K1" s="22"/>
      <c r="L1" s="22"/>
      <c r="M1" s="22"/>
      <c r="N1" s="23"/>
    </row>
    <row r="2">
      <c r="B2" s="1"/>
      <c r="C2" s="24" t="s">
        <v>12</v>
      </c>
      <c r="D2" s="1" t="s">
        <v>36</v>
      </c>
      <c r="E2" s="1" t="s">
        <v>19</v>
      </c>
      <c r="F2" s="1" t="s">
        <v>22</v>
      </c>
      <c r="G2" s="1" t="s">
        <v>10</v>
      </c>
      <c r="H2" s="26" t="s">
        <v>111</v>
      </c>
      <c r="I2" s="24" t="s">
        <v>12</v>
      </c>
      <c r="J2" s="1" t="s">
        <v>36</v>
      </c>
      <c r="K2" s="1" t="s">
        <v>19</v>
      </c>
      <c r="L2" s="1" t="s">
        <v>22</v>
      </c>
      <c r="M2" s="1" t="s">
        <v>10</v>
      </c>
      <c r="N2" s="26" t="s">
        <v>111</v>
      </c>
    </row>
    <row r="3">
      <c r="B3" s="7" t="s">
        <v>112</v>
      </c>
      <c r="C3" s="28"/>
      <c r="H3" s="26"/>
      <c r="I3" s="28"/>
      <c r="N3" s="26"/>
    </row>
    <row r="4">
      <c r="B4" s="1" t="s">
        <v>105</v>
      </c>
      <c r="C4" s="28"/>
      <c r="H4" s="26"/>
      <c r="I4" s="28"/>
      <c r="N4" s="26"/>
    </row>
    <row r="5">
      <c r="B5" s="1" t="s">
        <v>113</v>
      </c>
      <c r="C5" s="28"/>
      <c r="H5" s="26"/>
      <c r="I5" s="28"/>
      <c r="N5" s="26"/>
    </row>
    <row r="6">
      <c r="C6" s="28"/>
      <c r="H6" s="26"/>
      <c r="I6" s="28"/>
      <c r="N6" s="26"/>
    </row>
    <row r="7">
      <c r="C7" s="28"/>
      <c r="H7" s="26"/>
      <c r="I7" s="28"/>
      <c r="N7" s="26"/>
    </row>
    <row r="8">
      <c r="C8" s="28"/>
      <c r="H8" s="26"/>
      <c r="I8" s="28"/>
      <c r="N8" s="26"/>
    </row>
    <row r="9">
      <c r="B9" s="76" t="s">
        <v>114</v>
      </c>
      <c r="C9" s="28"/>
      <c r="H9" s="26"/>
      <c r="I9" s="28"/>
      <c r="N9" s="26"/>
    </row>
    <row r="10">
      <c r="B10" s="1" t="s">
        <v>41</v>
      </c>
      <c r="C10" s="28"/>
      <c r="H10" s="26"/>
      <c r="I10" s="28"/>
      <c r="N10" s="26"/>
    </row>
    <row r="11">
      <c r="B11" s="1" t="s">
        <v>115</v>
      </c>
      <c r="C11" s="28"/>
      <c r="H11" s="26"/>
      <c r="I11" s="28"/>
      <c r="N11" s="26"/>
    </row>
    <row r="12">
      <c r="B12" s="1" t="s">
        <v>116</v>
      </c>
      <c r="C12" s="28"/>
      <c r="H12" s="26"/>
      <c r="I12" s="28"/>
      <c r="N12" s="26"/>
    </row>
    <row r="13">
      <c r="B13" s="1" t="s">
        <v>38</v>
      </c>
      <c r="C13" s="24">
        <v>0.0</v>
      </c>
      <c r="D13" s="1">
        <v>1000.0</v>
      </c>
      <c r="E13" s="1">
        <v>0.0</v>
      </c>
      <c r="F13" s="1">
        <v>750.0</v>
      </c>
      <c r="G13" s="1">
        <v>3800.0</v>
      </c>
      <c r="H13" s="40">
        <v>100.0</v>
      </c>
      <c r="I13" s="28"/>
      <c r="N13" s="26"/>
    </row>
    <row r="14">
      <c r="B14" s="1" t="s">
        <v>117</v>
      </c>
      <c r="C14" s="28"/>
      <c r="H14" s="26"/>
      <c r="I14" s="28"/>
      <c r="N14" s="26"/>
    </row>
    <row r="15">
      <c r="B15" s="1" t="s">
        <v>118</v>
      </c>
      <c r="C15" s="28"/>
      <c r="H15" s="26"/>
      <c r="I15" s="28"/>
      <c r="N15" s="26"/>
    </row>
    <row r="16">
      <c r="B16" s="1" t="s">
        <v>119</v>
      </c>
      <c r="C16" s="28"/>
      <c r="H16" s="26"/>
      <c r="I16" s="28"/>
      <c r="N16" s="26"/>
    </row>
    <row r="17">
      <c r="B17" s="1" t="s">
        <v>120</v>
      </c>
      <c r="C17" s="28"/>
      <c r="H17" s="26"/>
      <c r="I17" s="28"/>
      <c r="N17" s="26"/>
    </row>
    <row r="18">
      <c r="C18" s="28"/>
      <c r="H18" s="26"/>
      <c r="I18" s="28"/>
      <c r="N18" s="26"/>
    </row>
    <row r="19">
      <c r="B19" s="77" t="s">
        <v>121</v>
      </c>
      <c r="C19" s="28"/>
      <c r="H19" s="26"/>
      <c r="I19" s="28"/>
      <c r="N19" s="26"/>
    </row>
    <row r="20">
      <c r="B20" s="1" t="s">
        <v>122</v>
      </c>
      <c r="C20" s="28"/>
      <c r="H20" s="26"/>
      <c r="I20" s="28"/>
      <c r="N20" s="26"/>
    </row>
    <row r="21">
      <c r="B21" s="1" t="s">
        <v>123</v>
      </c>
      <c r="C21" s="24">
        <v>0.0</v>
      </c>
      <c r="D21" s="1">
        <v>2000.0</v>
      </c>
      <c r="E21" s="1">
        <v>0.0</v>
      </c>
      <c r="F21" s="1">
        <v>1100.0</v>
      </c>
      <c r="G21" s="1">
        <v>1800.0</v>
      </c>
      <c r="H21" s="40">
        <v>750.0</v>
      </c>
      <c r="I21" s="24">
        <v>0.0</v>
      </c>
      <c r="J21" s="1">
        <v>100.0</v>
      </c>
      <c r="K21" s="1">
        <v>50.0</v>
      </c>
      <c r="L21" s="1">
        <v>0.0</v>
      </c>
      <c r="M21" s="1">
        <v>120.0</v>
      </c>
      <c r="N21" s="40">
        <v>50.0</v>
      </c>
    </row>
    <row r="22">
      <c r="C22" s="28"/>
      <c r="H22" s="26"/>
      <c r="I22" s="28"/>
      <c r="N22" s="26"/>
    </row>
    <row r="23">
      <c r="C23" s="28"/>
      <c r="H23" s="26"/>
      <c r="I23" s="28"/>
      <c r="N23" s="26"/>
    </row>
    <row r="24">
      <c r="C24" s="28"/>
      <c r="H24" s="26"/>
      <c r="I24" s="28"/>
      <c r="N24" s="26"/>
    </row>
    <row r="25">
      <c r="C25" s="28"/>
      <c r="H25" s="26"/>
      <c r="I25" s="28"/>
      <c r="N25" s="26"/>
    </row>
    <row r="26">
      <c r="C26" s="28"/>
      <c r="H26" s="26"/>
      <c r="I26" s="28"/>
      <c r="N26" s="26"/>
    </row>
    <row r="27">
      <c r="C27" s="28"/>
      <c r="H27" s="26"/>
      <c r="I27" s="28"/>
      <c r="N27" s="26"/>
    </row>
    <row r="28">
      <c r="C28" s="28"/>
      <c r="H28" s="26"/>
      <c r="I28" s="28"/>
      <c r="N28" s="26"/>
    </row>
    <row r="29">
      <c r="C29" s="28"/>
      <c r="H29" s="26"/>
      <c r="I29" s="28"/>
      <c r="N29" s="26"/>
    </row>
    <row r="30">
      <c r="C30" s="28"/>
      <c r="H30" s="26"/>
      <c r="I30" s="28"/>
      <c r="N30" s="26"/>
    </row>
    <row r="31">
      <c r="C31" s="28"/>
      <c r="H31" s="26"/>
      <c r="I31" s="28"/>
      <c r="N31" s="26"/>
    </row>
    <row r="32">
      <c r="C32" s="28"/>
      <c r="H32" s="26"/>
      <c r="I32" s="28"/>
      <c r="N32" s="26"/>
    </row>
    <row r="33">
      <c r="C33" s="28"/>
      <c r="H33" s="26"/>
      <c r="I33" s="28"/>
      <c r="N33" s="26"/>
    </row>
    <row r="34">
      <c r="C34" s="28"/>
      <c r="H34" s="26"/>
      <c r="I34" s="28"/>
      <c r="N34" s="26"/>
    </row>
    <row r="35">
      <c r="C35" s="28"/>
      <c r="H35" s="26"/>
      <c r="I35" s="28"/>
      <c r="N35" s="26"/>
    </row>
    <row r="36">
      <c r="C36" s="28"/>
      <c r="H36" s="26"/>
      <c r="I36" s="28"/>
      <c r="N36" s="26"/>
    </row>
    <row r="37">
      <c r="C37" s="29"/>
      <c r="D37" s="30"/>
      <c r="E37" s="30"/>
      <c r="F37" s="30"/>
      <c r="G37" s="30"/>
      <c r="H37" s="32"/>
      <c r="I37" s="29"/>
      <c r="J37" s="30"/>
      <c r="K37" s="30"/>
      <c r="L37" s="30"/>
      <c r="M37" s="30"/>
      <c r="N37" s="32"/>
    </row>
  </sheetData>
  <mergeCells count="3">
    <mergeCell ref="A1:A21"/>
    <mergeCell ref="C1:H1"/>
    <mergeCell ref="I1:N1"/>
  </mergeCells>
  <drawing r:id="rId1"/>
</worksheet>
</file>